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ate1904="1"/>
  <mc:AlternateContent xmlns:mc="http://schemas.openxmlformats.org/markup-compatibility/2006">
    <mc:Choice Requires="x15">
      <x15ac:absPath xmlns:x15ac="http://schemas.microsoft.com/office/spreadsheetml/2010/11/ac" url="D:\Research at UCL\Colour standards\CIE colorimetric data\"/>
    </mc:Choice>
  </mc:AlternateContent>
  <bookViews>
    <workbookView xWindow="1848" yWindow="180" windowWidth="15480" windowHeight="11640" tabRatio="871"/>
  </bookViews>
  <sheets>
    <sheet name="Reference" sheetId="1" r:id="rId1"/>
    <sheet name="Chromaticity" sheetId="2" r:id="rId2"/>
    <sheet name="xy diagram" sheetId="3" r:id="rId3"/>
    <sheet name="von Kries" sheetId="4" r:id="rId4"/>
    <sheet name="Results" sheetId="5" r:id="rId5"/>
    <sheet name="CCT.v" sheetId="6" r:id="rId6"/>
    <sheet name="Sample data" sheetId="7" r:id="rId7"/>
  </sheets>
  <externalReferences>
    <externalReference r:id="rId8"/>
  </externalReferences>
  <definedNames>
    <definedName name="CCT">CCT.v!$A$1</definedName>
    <definedName name="DOMIN" function="1" xlm="1" functionGroupId="14">#REF!</definedName>
    <definedName name="Monochromator" function="1" xlm="1" functionGroupId="14">#REF!</definedName>
    <definedName name="xy" localSheetId="5">CCT.v!$G$1:$G$2</definedName>
  </definedNames>
  <calcPr calcId="152511"/>
</workbook>
</file>

<file path=xl/calcChain.xml><?xml version="1.0" encoding="utf-8"?>
<calcChain xmlns="http://schemas.openxmlformats.org/spreadsheetml/2006/main">
  <c r="B99" i="2" l="1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G10" i="1"/>
  <c r="G11" i="1"/>
  <c r="G12" i="1"/>
  <c r="G7" i="1"/>
  <c r="A20" i="5"/>
  <c r="A21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6" i="5"/>
  <c r="C26" i="5"/>
  <c r="B26" i="5"/>
  <c r="A6" i="7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25" i="4"/>
  <c r="A27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11" i="4"/>
  <c r="P11" i="2" l="1"/>
  <c r="R11" i="2"/>
  <c r="F13" i="2"/>
  <c r="S12" i="2"/>
  <c r="P35" i="2" s="1"/>
  <c r="D40" i="5" s="1"/>
  <c r="E40" i="5" s="1"/>
  <c r="O11" i="2"/>
  <c r="I13" i="2"/>
  <c r="G12" i="2"/>
  <c r="P23" i="2" s="1"/>
  <c r="D28" i="5" s="1"/>
  <c r="E28" i="5" s="1"/>
  <c r="M13" i="2"/>
  <c r="Q13" i="2"/>
  <c r="H11" i="2"/>
  <c r="K11" i="2"/>
  <c r="T11" i="2"/>
  <c r="G11" i="2"/>
  <c r="S13" i="2"/>
  <c r="L11" i="2"/>
  <c r="P13" i="2"/>
  <c r="Q11" i="2"/>
  <c r="N12" i="2"/>
  <c r="W20" i="2" s="1"/>
  <c r="T12" i="2"/>
  <c r="P36" i="2" s="1"/>
  <c r="D41" i="5" s="1"/>
  <c r="E41" i="5" s="1"/>
  <c r="F12" i="2"/>
  <c r="P22" i="2" s="1"/>
  <c r="D27" i="5" s="1"/>
  <c r="E27" i="5" s="1"/>
  <c r="G13" i="2"/>
  <c r="J12" i="2"/>
  <c r="P26" i="2" s="1"/>
  <c r="D31" i="5" s="1"/>
  <c r="E31" i="5" s="1"/>
  <c r="I11" i="2"/>
  <c r="K13" i="2"/>
  <c r="L12" i="2"/>
  <c r="P28" i="2" s="1"/>
  <c r="D33" i="5" s="1"/>
  <c r="E33" i="5" s="1"/>
  <c r="M11" i="2"/>
  <c r="N13" i="2"/>
  <c r="W21" i="2" s="1"/>
  <c r="R13" i="2"/>
  <c r="Q12" i="2"/>
  <c r="P33" i="2" s="1"/>
  <c r="D38" i="5" s="1"/>
  <c r="E38" i="5" s="1"/>
  <c r="H13" i="2"/>
  <c r="J11" i="2"/>
  <c r="K12" i="2"/>
  <c r="P27" i="2" s="1"/>
  <c r="D32" i="5" s="1"/>
  <c r="E32" i="5" s="1"/>
  <c r="O13" i="2"/>
  <c r="R12" i="2"/>
  <c r="P34" i="2" s="1"/>
  <c r="D39" i="5" s="1"/>
  <c r="E39" i="5" s="1"/>
  <c r="N11" i="2"/>
  <c r="W19" i="2" s="1"/>
  <c r="T13" i="2"/>
  <c r="F11" i="2"/>
  <c r="H12" i="2"/>
  <c r="P24" i="2" s="1"/>
  <c r="D29" i="5" s="1"/>
  <c r="E29" i="5" s="1"/>
  <c r="J13" i="2"/>
  <c r="I12" i="2"/>
  <c r="P25" i="2" s="1"/>
  <c r="D30" i="5" s="1"/>
  <c r="E30" i="5" s="1"/>
  <c r="S11" i="2"/>
  <c r="L13" i="2"/>
  <c r="M12" i="2"/>
  <c r="P29" i="2" s="1"/>
  <c r="D34" i="5" s="1"/>
  <c r="E34" i="5" s="1"/>
  <c r="O12" i="2"/>
  <c r="P31" i="2" s="1"/>
  <c r="D36" i="5" s="1"/>
  <c r="E36" i="5" s="1"/>
  <c r="P12" i="2"/>
  <c r="P32" i="2" s="1"/>
  <c r="D37" i="5" s="1"/>
  <c r="E37" i="5" s="1"/>
  <c r="G14" i="1"/>
  <c r="L28" i="5" s="1"/>
  <c r="P37" i="2"/>
  <c r="D42" i="5" s="1"/>
  <c r="E42" i="5" s="1"/>
  <c r="G15" i="1"/>
  <c r="G13" i="1"/>
  <c r="G16" i="1"/>
  <c r="G17" i="1" a="1"/>
  <c r="S15" i="2" l="1"/>
  <c r="M35" i="2" s="1"/>
  <c r="K14" i="2"/>
  <c r="L27" i="2" s="1"/>
  <c r="P30" i="2"/>
  <c r="D35" i="5" s="1"/>
  <c r="E35" i="5" s="1"/>
  <c r="F15" i="2"/>
  <c r="M22" i="2" s="1"/>
  <c r="T14" i="2"/>
  <c r="L36" i="2" s="1"/>
  <c r="I14" i="2"/>
  <c r="L25" i="2" s="1"/>
  <c r="L14" i="2"/>
  <c r="L28" i="2" s="1"/>
  <c r="T15" i="2"/>
  <c r="M36" i="2" s="1"/>
  <c r="K15" i="2"/>
  <c r="M27" i="2" s="1"/>
  <c r="M15" i="2"/>
  <c r="M29" i="2" s="1"/>
  <c r="H14" i="2"/>
  <c r="L24" i="2" s="1"/>
  <c r="F14" i="2"/>
  <c r="L22" i="2" s="1"/>
  <c r="H15" i="2"/>
  <c r="M24" i="2" s="1"/>
  <c r="N15" i="2"/>
  <c r="W23" i="2" s="1"/>
  <c r="M14" i="2"/>
  <c r="L29" i="2" s="1"/>
  <c r="I15" i="2"/>
  <c r="M25" i="2" s="1"/>
  <c r="N14" i="2"/>
  <c r="W22" i="2" s="1"/>
  <c r="S14" i="2"/>
  <c r="L35" i="2" s="1"/>
  <c r="O14" i="2"/>
  <c r="L31" i="2" s="1"/>
  <c r="Q14" i="2"/>
  <c r="L33" i="2" s="1"/>
  <c r="G15" i="2"/>
  <c r="M23" i="2" s="1"/>
  <c r="G14" i="2"/>
  <c r="L23" i="2" s="1"/>
  <c r="O15" i="2"/>
  <c r="M31" i="2" s="1"/>
  <c r="N31" i="2" s="1"/>
  <c r="B20" i="4" s="1"/>
  <c r="Q15" i="2"/>
  <c r="M33" i="2" s="1"/>
  <c r="N33" i="2" s="1"/>
  <c r="B22" i="4" s="1"/>
  <c r="P14" i="2"/>
  <c r="L32" i="2" s="1"/>
  <c r="R14" i="2"/>
  <c r="L34" i="2" s="1"/>
  <c r="P15" i="2"/>
  <c r="M32" i="2" s="1"/>
  <c r="J15" i="2"/>
  <c r="M26" i="2" s="1"/>
  <c r="R15" i="2"/>
  <c r="M34" i="2" s="1"/>
  <c r="J14" i="2"/>
  <c r="L26" i="2" s="1"/>
  <c r="L15" i="2"/>
  <c r="M28" i="2" s="1"/>
  <c r="M37" i="2"/>
  <c r="G17" i="1"/>
  <c r="L31" i="5" s="1"/>
  <c r="G18" i="1"/>
  <c r="E4" i="4" s="1"/>
  <c r="L37" i="2"/>
  <c r="L27" i="5"/>
  <c r="O37" i="2"/>
  <c r="L30" i="5"/>
  <c r="N37" i="2"/>
  <c r="L29" i="5"/>
  <c r="N22" i="2" l="1"/>
  <c r="B11" i="4" s="1"/>
  <c r="O31" i="2"/>
  <c r="C20" i="4" s="1"/>
  <c r="D20" i="4" s="1"/>
  <c r="O27" i="2"/>
  <c r="C16" i="4" s="1"/>
  <c r="O36" i="2"/>
  <c r="C25" i="4" s="1"/>
  <c r="N35" i="2"/>
  <c r="B24" i="4" s="1"/>
  <c r="O25" i="2"/>
  <c r="C14" i="4" s="1"/>
  <c r="N25" i="2"/>
  <c r="B14" i="4" s="1"/>
  <c r="O22" i="2"/>
  <c r="C11" i="4" s="1"/>
  <c r="N27" i="2"/>
  <c r="B16" i="4" s="1"/>
  <c r="O35" i="2"/>
  <c r="C24" i="4" s="1"/>
  <c r="N36" i="2"/>
  <c r="B25" i="4" s="1"/>
  <c r="O28" i="2"/>
  <c r="C17" i="4" s="1"/>
  <c r="O26" i="2"/>
  <c r="C15" i="4" s="1"/>
  <c r="O24" i="2"/>
  <c r="C13" i="4" s="1"/>
  <c r="O34" i="2"/>
  <c r="C23" i="4" s="1"/>
  <c r="O23" i="2"/>
  <c r="C12" i="4" s="1"/>
  <c r="N29" i="2"/>
  <c r="B18" i="4" s="1"/>
  <c r="O33" i="2"/>
  <c r="C22" i="4" s="1"/>
  <c r="D22" i="4" s="1"/>
  <c r="O29" i="2"/>
  <c r="C18" i="4" s="1"/>
  <c r="N23" i="2"/>
  <c r="B12" i="4" s="1"/>
  <c r="N24" i="2"/>
  <c r="B13" i="4" s="1"/>
  <c r="N34" i="2"/>
  <c r="B23" i="4" s="1"/>
  <c r="M30" i="2"/>
  <c r="N26" i="2"/>
  <c r="B15" i="4" s="1"/>
  <c r="L30" i="2"/>
  <c r="O32" i="2"/>
  <c r="C21" i="4" s="1"/>
  <c r="N28" i="2"/>
  <c r="B17" i="4" s="1"/>
  <c r="N32" i="2"/>
  <c r="B21" i="4" s="1"/>
  <c r="D4" i="4"/>
  <c r="H1" i="1"/>
  <c r="H11" i="1" s="1"/>
  <c r="L32" i="5"/>
  <c r="B4" i="4"/>
  <c r="B27" i="4"/>
  <c r="C4" i="4"/>
  <c r="C27" i="4"/>
  <c r="D12" i="4" l="1"/>
  <c r="D24" i="4"/>
  <c r="D25" i="4"/>
  <c r="D11" i="4"/>
  <c r="D18" i="4"/>
  <c r="E11" i="4"/>
  <c r="E20" i="4"/>
  <c r="E14" i="4"/>
  <c r="E24" i="4"/>
  <c r="D15" i="4"/>
  <c r="E16" i="4"/>
  <c r="E22" i="4"/>
  <c r="E25" i="4"/>
  <c r="E17" i="4"/>
  <c r="D14" i="4"/>
  <c r="E13" i="4"/>
  <c r="E18" i="4"/>
  <c r="E12" i="4"/>
  <c r="D16" i="4"/>
  <c r="D17" i="4"/>
  <c r="E15" i="4"/>
  <c r="E23" i="4"/>
  <c r="N30" i="2"/>
  <c r="W24" i="2" s="1"/>
  <c r="D13" i="4"/>
  <c r="H93" i="1"/>
  <c r="E21" i="4"/>
  <c r="D23" i="4"/>
  <c r="O30" i="2"/>
  <c r="D21" i="4"/>
  <c r="H30" i="1"/>
  <c r="H62" i="1"/>
  <c r="H29" i="1"/>
  <c r="H94" i="1"/>
  <c r="H61" i="1"/>
  <c r="H5" i="1"/>
  <c r="H70" i="1"/>
  <c r="H38" i="1"/>
  <c r="H8" i="1"/>
  <c r="H69" i="1"/>
  <c r="H37" i="1"/>
  <c r="H78" i="1"/>
  <c r="H46" i="1"/>
  <c r="H14" i="1"/>
  <c r="H77" i="1"/>
  <c r="H45" i="1"/>
  <c r="I45" i="1" s="1"/>
  <c r="H13" i="1"/>
  <c r="H86" i="1"/>
  <c r="H54" i="1"/>
  <c r="H22" i="1"/>
  <c r="H85" i="1"/>
  <c r="H53" i="1"/>
  <c r="H21" i="1"/>
  <c r="T3" i="1"/>
  <c r="T9" i="1" s="1"/>
  <c r="H88" i="1"/>
  <c r="H72" i="1"/>
  <c r="H56" i="1"/>
  <c r="H40" i="1"/>
  <c r="H24" i="1"/>
  <c r="H6" i="1"/>
  <c r="H87" i="1"/>
  <c r="H71" i="1"/>
  <c r="I71" i="1" s="1"/>
  <c r="H55" i="1"/>
  <c r="H39" i="1"/>
  <c r="H23" i="1"/>
  <c r="H98" i="1"/>
  <c r="H90" i="1"/>
  <c r="H82" i="1"/>
  <c r="H74" i="1"/>
  <c r="H66" i="1"/>
  <c r="I66" i="1" s="1"/>
  <c r="H58" i="1"/>
  <c r="H50" i="1"/>
  <c r="H42" i="1"/>
  <c r="H34" i="1"/>
  <c r="H26" i="1"/>
  <c r="H18" i="1"/>
  <c r="H10" i="1"/>
  <c r="H97" i="1"/>
  <c r="I97" i="1" s="1"/>
  <c r="H89" i="1"/>
  <c r="H81" i="1"/>
  <c r="H73" i="1"/>
  <c r="H65" i="1"/>
  <c r="H57" i="1"/>
  <c r="H49" i="1"/>
  <c r="H41" i="1"/>
  <c r="H33" i="1"/>
  <c r="I33" i="1" s="1"/>
  <c r="H25" i="1"/>
  <c r="H17" i="1"/>
  <c r="H9" i="1"/>
  <c r="H96" i="1"/>
  <c r="H80" i="1"/>
  <c r="H64" i="1"/>
  <c r="H48" i="1"/>
  <c r="H32" i="1"/>
  <c r="I32" i="1" s="1"/>
  <c r="H16" i="1"/>
  <c r="H95" i="1"/>
  <c r="H79" i="1"/>
  <c r="H63" i="1"/>
  <c r="H47" i="1"/>
  <c r="H31" i="1"/>
  <c r="H15" i="1"/>
  <c r="H7" i="1"/>
  <c r="I7" i="1" s="1"/>
  <c r="H92" i="1"/>
  <c r="H84" i="1"/>
  <c r="H76" i="1"/>
  <c r="H68" i="1"/>
  <c r="H60" i="1"/>
  <c r="H52" i="1"/>
  <c r="H44" i="1"/>
  <c r="H36" i="1"/>
  <c r="I36" i="1" s="1"/>
  <c r="H28" i="1"/>
  <c r="H20" i="1"/>
  <c r="H12" i="1"/>
  <c r="H99" i="1"/>
  <c r="H91" i="1"/>
  <c r="H83" i="1"/>
  <c r="H75" i="1"/>
  <c r="H67" i="1"/>
  <c r="I67" i="1" s="1"/>
  <c r="H59" i="1"/>
  <c r="H51" i="1"/>
  <c r="H43" i="1"/>
  <c r="H35" i="1"/>
  <c r="H27" i="1"/>
  <c r="H19" i="1"/>
  <c r="F4" i="4"/>
  <c r="G4" i="4"/>
  <c r="D27" i="4"/>
  <c r="E27" i="4"/>
  <c r="I35" i="1" l="1"/>
  <c r="I99" i="1"/>
  <c r="I68" i="1"/>
  <c r="I63" i="1"/>
  <c r="I96" i="1"/>
  <c r="I65" i="1"/>
  <c r="I34" i="1"/>
  <c r="I98" i="1"/>
  <c r="I40" i="1"/>
  <c r="I22" i="1"/>
  <c r="B19" i="4"/>
  <c r="I9" i="1"/>
  <c r="H101" i="1"/>
  <c r="C19" i="4"/>
  <c r="W25" i="2"/>
  <c r="I29" i="1"/>
  <c r="I59" i="1"/>
  <c r="I28" i="1"/>
  <c r="I60" i="1"/>
  <c r="I47" i="1"/>
  <c r="I16" i="1"/>
  <c r="I80" i="1"/>
  <c r="I25" i="1"/>
  <c r="I57" i="1"/>
  <c r="I89" i="1"/>
  <c r="I26" i="1"/>
  <c r="I58" i="1"/>
  <c r="I90" i="1"/>
  <c r="I94" i="1"/>
  <c r="I62" i="1"/>
  <c r="T6" i="1"/>
  <c r="T12" i="1" s="1"/>
  <c r="T13" i="1" s="1"/>
  <c r="T15" i="1" s="1"/>
  <c r="I23" i="1"/>
  <c r="I37" i="1"/>
  <c r="I19" i="1"/>
  <c r="I51" i="1"/>
  <c r="I83" i="1"/>
  <c r="I20" i="1"/>
  <c r="I52" i="1"/>
  <c r="I84" i="1"/>
  <c r="I31" i="1"/>
  <c r="I95" i="1"/>
  <c r="I64" i="1"/>
  <c r="I17" i="1"/>
  <c r="I49" i="1"/>
  <c r="I81" i="1"/>
  <c r="I18" i="1"/>
  <c r="I50" i="1"/>
  <c r="I82" i="1"/>
  <c r="I39" i="1"/>
  <c r="I6" i="1"/>
  <c r="I72" i="1"/>
  <c r="I53" i="1"/>
  <c r="I86" i="1"/>
  <c r="I14" i="1"/>
  <c r="I69" i="1"/>
  <c r="I5" i="1"/>
  <c r="I41" i="1"/>
  <c r="I27" i="1"/>
  <c r="I91" i="1"/>
  <c r="I92" i="1"/>
  <c r="I11" i="1"/>
  <c r="I43" i="1"/>
  <c r="I75" i="1"/>
  <c r="I12" i="1"/>
  <c r="I44" i="1"/>
  <c r="I76" i="1"/>
  <c r="I15" i="1"/>
  <c r="I79" i="1"/>
  <c r="I48" i="1"/>
  <c r="I73" i="1"/>
  <c r="I10" i="1"/>
  <c r="I42" i="1"/>
  <c r="I74" i="1"/>
  <c r="I87" i="1"/>
  <c r="I56" i="1"/>
  <c r="I21" i="1"/>
  <c r="I54" i="1"/>
  <c r="I77" i="1"/>
  <c r="I70" i="1"/>
  <c r="I55" i="1"/>
  <c r="I24" i="1"/>
  <c r="I88" i="1"/>
  <c r="I85" i="1"/>
  <c r="I13" i="1"/>
  <c r="I46" i="1"/>
  <c r="I8" i="1"/>
  <c r="I61" i="1"/>
  <c r="I30" i="1"/>
  <c r="I78" i="1"/>
  <c r="I38" i="1"/>
  <c r="I93" i="1"/>
  <c r="D19" i="4" l="1"/>
  <c r="E19" i="4"/>
  <c r="T16" i="1"/>
  <c r="U46" i="1" s="1"/>
  <c r="M46" i="1" s="1"/>
  <c r="C46" i="2" s="1"/>
  <c r="U44" i="1" l="1"/>
  <c r="M44" i="1" s="1"/>
  <c r="C44" i="2" s="1"/>
  <c r="U42" i="1"/>
  <c r="M42" i="1" s="1"/>
  <c r="C42" i="2" s="1"/>
  <c r="U40" i="1"/>
  <c r="M40" i="1" s="1"/>
  <c r="C40" i="2" s="1"/>
  <c r="U38" i="1"/>
  <c r="M38" i="1" s="1"/>
  <c r="C38" i="2" s="1"/>
  <c r="U36" i="1"/>
  <c r="M36" i="1" s="1"/>
  <c r="C36" i="2" s="1"/>
  <c r="U34" i="1"/>
  <c r="M34" i="1" s="1"/>
  <c r="C34" i="2" s="1"/>
  <c r="U32" i="1"/>
  <c r="M32" i="1" s="1"/>
  <c r="C32" i="2" s="1"/>
  <c r="U30" i="1"/>
  <c r="M30" i="1" s="1"/>
  <c r="C30" i="2" s="1"/>
  <c r="U28" i="1"/>
  <c r="M28" i="1" s="1"/>
  <c r="C28" i="2" s="1"/>
  <c r="U26" i="1"/>
  <c r="M26" i="1" s="1"/>
  <c r="C26" i="2" s="1"/>
  <c r="U24" i="1"/>
  <c r="M24" i="1" s="1"/>
  <c r="C24" i="2" s="1"/>
  <c r="U22" i="1"/>
  <c r="M22" i="1" s="1"/>
  <c r="C22" i="2" s="1"/>
  <c r="U20" i="1"/>
  <c r="M20" i="1" s="1"/>
  <c r="C20" i="2" s="1"/>
  <c r="U18" i="1"/>
  <c r="M18" i="1" s="1"/>
  <c r="C18" i="2" s="1"/>
  <c r="U16" i="1"/>
  <c r="M16" i="1" s="1"/>
  <c r="C16" i="2" s="1"/>
  <c r="U14" i="1"/>
  <c r="M14" i="1" s="1"/>
  <c r="C14" i="2" s="1"/>
  <c r="U12" i="1"/>
  <c r="M12" i="1" s="1"/>
  <c r="C12" i="2" s="1"/>
  <c r="U10" i="1"/>
  <c r="M10" i="1" s="1"/>
  <c r="C10" i="2" s="1"/>
  <c r="U8" i="1"/>
  <c r="M8" i="1" s="1"/>
  <c r="C8" i="2" s="1"/>
  <c r="U6" i="1"/>
  <c r="M6" i="1" s="1"/>
  <c r="C6" i="2" s="1"/>
  <c r="U99" i="1"/>
  <c r="M99" i="1" s="1"/>
  <c r="C99" i="2" s="1"/>
  <c r="U97" i="1"/>
  <c r="M97" i="1" s="1"/>
  <c r="C97" i="2" s="1"/>
  <c r="U95" i="1"/>
  <c r="M95" i="1" s="1"/>
  <c r="C95" i="2" s="1"/>
  <c r="U93" i="1"/>
  <c r="M93" i="1" s="1"/>
  <c r="C93" i="2" s="1"/>
  <c r="U91" i="1"/>
  <c r="M91" i="1" s="1"/>
  <c r="C91" i="2" s="1"/>
  <c r="U89" i="1"/>
  <c r="M89" i="1" s="1"/>
  <c r="C89" i="2" s="1"/>
  <c r="U87" i="1"/>
  <c r="M87" i="1" s="1"/>
  <c r="C87" i="2" s="1"/>
  <c r="U85" i="1"/>
  <c r="M85" i="1" s="1"/>
  <c r="C85" i="2" s="1"/>
  <c r="U83" i="1"/>
  <c r="M83" i="1" s="1"/>
  <c r="C83" i="2" s="1"/>
  <c r="U81" i="1"/>
  <c r="M81" i="1" s="1"/>
  <c r="C81" i="2" s="1"/>
  <c r="U79" i="1"/>
  <c r="M79" i="1" s="1"/>
  <c r="C79" i="2" s="1"/>
  <c r="U77" i="1"/>
  <c r="M77" i="1" s="1"/>
  <c r="C77" i="2" s="1"/>
  <c r="U75" i="1"/>
  <c r="M75" i="1" s="1"/>
  <c r="C75" i="2" s="1"/>
  <c r="U73" i="1"/>
  <c r="M73" i="1" s="1"/>
  <c r="C73" i="2" s="1"/>
  <c r="U71" i="1"/>
  <c r="M71" i="1" s="1"/>
  <c r="C71" i="2" s="1"/>
  <c r="U69" i="1"/>
  <c r="M69" i="1" s="1"/>
  <c r="C69" i="2" s="1"/>
  <c r="U67" i="1"/>
  <c r="M67" i="1" s="1"/>
  <c r="C67" i="2" s="1"/>
  <c r="U65" i="1"/>
  <c r="M65" i="1" s="1"/>
  <c r="C65" i="2" s="1"/>
  <c r="U63" i="1"/>
  <c r="M63" i="1" s="1"/>
  <c r="C63" i="2" s="1"/>
  <c r="U61" i="1"/>
  <c r="M61" i="1" s="1"/>
  <c r="C61" i="2" s="1"/>
  <c r="U59" i="1"/>
  <c r="M59" i="1" s="1"/>
  <c r="C59" i="2" s="1"/>
  <c r="U57" i="1"/>
  <c r="M57" i="1" s="1"/>
  <c r="C57" i="2" s="1"/>
  <c r="U55" i="1"/>
  <c r="M55" i="1" s="1"/>
  <c r="C55" i="2" s="1"/>
  <c r="U53" i="1"/>
  <c r="M53" i="1" s="1"/>
  <c r="C53" i="2" s="1"/>
  <c r="U51" i="1"/>
  <c r="M51" i="1" s="1"/>
  <c r="C51" i="2" s="1"/>
  <c r="U49" i="1"/>
  <c r="M49" i="1" s="1"/>
  <c r="C49" i="2" s="1"/>
  <c r="U47" i="1"/>
  <c r="M47" i="1" s="1"/>
  <c r="C47" i="2" s="1"/>
  <c r="U5" i="1"/>
  <c r="M5" i="1" s="1"/>
  <c r="U43" i="1"/>
  <c r="M43" i="1" s="1"/>
  <c r="C43" i="2" s="1"/>
  <c r="U41" i="1"/>
  <c r="M41" i="1" s="1"/>
  <c r="C41" i="2" s="1"/>
  <c r="U39" i="1"/>
  <c r="M39" i="1" s="1"/>
  <c r="C39" i="2" s="1"/>
  <c r="U37" i="1"/>
  <c r="M37" i="1" s="1"/>
  <c r="C37" i="2" s="1"/>
  <c r="U35" i="1"/>
  <c r="M35" i="1" s="1"/>
  <c r="C35" i="2" s="1"/>
  <c r="U33" i="1"/>
  <c r="M33" i="1" s="1"/>
  <c r="C33" i="2" s="1"/>
  <c r="U31" i="1"/>
  <c r="M31" i="1" s="1"/>
  <c r="C31" i="2" s="1"/>
  <c r="U29" i="1"/>
  <c r="M29" i="1" s="1"/>
  <c r="C29" i="2" s="1"/>
  <c r="U27" i="1"/>
  <c r="M27" i="1" s="1"/>
  <c r="C27" i="2" s="1"/>
  <c r="U25" i="1"/>
  <c r="M25" i="1" s="1"/>
  <c r="C25" i="2" s="1"/>
  <c r="U23" i="1"/>
  <c r="M23" i="1" s="1"/>
  <c r="C23" i="2" s="1"/>
  <c r="U21" i="1"/>
  <c r="M21" i="1" s="1"/>
  <c r="C21" i="2" s="1"/>
  <c r="U19" i="1"/>
  <c r="M19" i="1" s="1"/>
  <c r="C19" i="2" s="1"/>
  <c r="U17" i="1"/>
  <c r="M17" i="1" s="1"/>
  <c r="C17" i="2" s="1"/>
  <c r="U15" i="1"/>
  <c r="M15" i="1" s="1"/>
  <c r="C15" i="2" s="1"/>
  <c r="U13" i="1"/>
  <c r="M13" i="1" s="1"/>
  <c r="C13" i="2" s="1"/>
  <c r="U11" i="1"/>
  <c r="M11" i="1" s="1"/>
  <c r="C11" i="2" s="1"/>
  <c r="U9" i="1"/>
  <c r="M9" i="1" s="1"/>
  <c r="C9" i="2" s="1"/>
  <c r="U7" i="1"/>
  <c r="M7" i="1" s="1"/>
  <c r="C7" i="2" s="1"/>
  <c r="U45" i="1"/>
  <c r="U98" i="1"/>
  <c r="M98" i="1" s="1"/>
  <c r="C98" i="2" s="1"/>
  <c r="U96" i="1"/>
  <c r="U94" i="1"/>
  <c r="M94" i="1" s="1"/>
  <c r="C94" i="2" s="1"/>
  <c r="U92" i="1"/>
  <c r="U90" i="1"/>
  <c r="M90" i="1" s="1"/>
  <c r="C90" i="2" s="1"/>
  <c r="U88" i="1"/>
  <c r="U86" i="1"/>
  <c r="M86" i="1" s="1"/>
  <c r="C86" i="2" s="1"/>
  <c r="U84" i="1"/>
  <c r="U82" i="1"/>
  <c r="M82" i="1" s="1"/>
  <c r="C82" i="2" s="1"/>
  <c r="U80" i="1"/>
  <c r="U78" i="1"/>
  <c r="M78" i="1" s="1"/>
  <c r="C78" i="2" s="1"/>
  <c r="U76" i="1"/>
  <c r="U74" i="1"/>
  <c r="M74" i="1" s="1"/>
  <c r="C74" i="2" s="1"/>
  <c r="U72" i="1"/>
  <c r="U70" i="1"/>
  <c r="M70" i="1" s="1"/>
  <c r="C70" i="2" s="1"/>
  <c r="U68" i="1"/>
  <c r="U66" i="1"/>
  <c r="M66" i="1" s="1"/>
  <c r="C66" i="2" s="1"/>
  <c r="U64" i="1"/>
  <c r="U62" i="1"/>
  <c r="M62" i="1" s="1"/>
  <c r="C62" i="2" s="1"/>
  <c r="U60" i="1"/>
  <c r="U58" i="1"/>
  <c r="M58" i="1" s="1"/>
  <c r="C58" i="2" s="1"/>
  <c r="U56" i="1"/>
  <c r="U54" i="1"/>
  <c r="M54" i="1" s="1"/>
  <c r="C54" i="2" s="1"/>
  <c r="U52" i="1"/>
  <c r="U50" i="1"/>
  <c r="M50" i="1" s="1"/>
  <c r="C50" i="2" s="1"/>
  <c r="U48" i="1"/>
  <c r="V48" i="1" l="1"/>
  <c r="M48" i="1"/>
  <c r="C48" i="2" s="1"/>
  <c r="V52" i="1"/>
  <c r="M52" i="1"/>
  <c r="C52" i="2" s="1"/>
  <c r="V56" i="1"/>
  <c r="M56" i="1"/>
  <c r="C56" i="2" s="1"/>
  <c r="V60" i="1"/>
  <c r="M60" i="1"/>
  <c r="C60" i="2" s="1"/>
  <c r="V64" i="1"/>
  <c r="M64" i="1"/>
  <c r="C64" i="2" s="1"/>
  <c r="V68" i="1"/>
  <c r="M68" i="1"/>
  <c r="C68" i="2" s="1"/>
  <c r="V72" i="1"/>
  <c r="M72" i="1"/>
  <c r="C72" i="2" s="1"/>
  <c r="V76" i="1"/>
  <c r="M76" i="1"/>
  <c r="C76" i="2" s="1"/>
  <c r="V80" i="1"/>
  <c r="M80" i="1"/>
  <c r="C80" i="2" s="1"/>
  <c r="V84" i="1"/>
  <c r="M84" i="1"/>
  <c r="C84" i="2" s="1"/>
  <c r="V88" i="1"/>
  <c r="M88" i="1"/>
  <c r="C88" i="2" s="1"/>
  <c r="V92" i="1"/>
  <c r="M92" i="1"/>
  <c r="C92" i="2" s="1"/>
  <c r="V96" i="1"/>
  <c r="M96" i="1"/>
  <c r="C96" i="2" s="1"/>
  <c r="V45" i="1"/>
  <c r="M45" i="1"/>
  <c r="C45" i="2" s="1"/>
  <c r="C5" i="2"/>
  <c r="V50" i="1"/>
  <c r="V54" i="1"/>
  <c r="V58" i="1"/>
  <c r="V62" i="1"/>
  <c r="V66" i="1"/>
  <c r="V70" i="1"/>
  <c r="V74" i="1"/>
  <c r="V78" i="1"/>
  <c r="V82" i="1"/>
  <c r="V86" i="1"/>
  <c r="V90" i="1"/>
  <c r="V94" i="1"/>
  <c r="V98" i="1"/>
  <c r="V7" i="1"/>
  <c r="V11" i="1"/>
  <c r="V15" i="1"/>
  <c r="V19" i="1"/>
  <c r="V23" i="1"/>
  <c r="V9" i="1"/>
  <c r="V13" i="1"/>
  <c r="V17" i="1"/>
  <c r="V21" i="1"/>
  <c r="V25" i="1"/>
  <c r="V29" i="1"/>
  <c r="V33" i="1"/>
  <c r="V37" i="1"/>
  <c r="V41" i="1"/>
  <c r="V47" i="1"/>
  <c r="V51" i="1"/>
  <c r="V55" i="1"/>
  <c r="V59" i="1"/>
  <c r="V63" i="1"/>
  <c r="V67" i="1"/>
  <c r="V71" i="1"/>
  <c r="V75" i="1"/>
  <c r="V79" i="1"/>
  <c r="V83" i="1"/>
  <c r="V87" i="1"/>
  <c r="V91" i="1"/>
  <c r="V95" i="1"/>
  <c r="V99" i="1"/>
  <c r="V8" i="1"/>
  <c r="V12" i="1"/>
  <c r="V16" i="1"/>
  <c r="V20" i="1"/>
  <c r="V24" i="1"/>
  <c r="V28" i="1"/>
  <c r="V32" i="1"/>
  <c r="V36" i="1"/>
  <c r="V40" i="1"/>
  <c r="V44" i="1"/>
  <c r="V46" i="1"/>
  <c r="V27" i="1"/>
  <c r="V31" i="1"/>
  <c r="V35" i="1"/>
  <c r="V39" i="1"/>
  <c r="V43" i="1"/>
  <c r="V5" i="1"/>
  <c r="V49" i="1"/>
  <c r="V53" i="1"/>
  <c r="V57" i="1"/>
  <c r="V61" i="1"/>
  <c r="V65" i="1"/>
  <c r="V69" i="1"/>
  <c r="V73" i="1"/>
  <c r="V77" i="1"/>
  <c r="V81" i="1"/>
  <c r="V85" i="1"/>
  <c r="V89" i="1"/>
  <c r="V93" i="1"/>
  <c r="V97" i="1"/>
  <c r="V6" i="1"/>
  <c r="V10" i="1"/>
  <c r="V14" i="1"/>
  <c r="V18" i="1"/>
  <c r="V22" i="1"/>
  <c r="V26" i="1"/>
  <c r="V30" i="1"/>
  <c r="V34" i="1"/>
  <c r="V38" i="1"/>
  <c r="V42" i="1"/>
  <c r="L12" i="1" l="1"/>
  <c r="L11" i="1"/>
  <c r="L10" i="1"/>
  <c r="Q7" i="2"/>
  <c r="R5" i="2"/>
  <c r="P5" i="2"/>
  <c r="M7" i="2"/>
  <c r="L5" i="2"/>
  <c r="K6" i="2"/>
  <c r="I7" i="2"/>
  <c r="J5" i="2"/>
  <c r="G5" i="2"/>
  <c r="F7" i="2"/>
  <c r="R7" i="2"/>
  <c r="P6" i="2"/>
  <c r="O5" i="2"/>
  <c r="L7" i="2"/>
  <c r="K5" i="2"/>
  <c r="S6" i="2"/>
  <c r="J7" i="2"/>
  <c r="G6" i="2"/>
  <c r="H5" i="2"/>
  <c r="T7" i="2"/>
  <c r="F5" i="2"/>
  <c r="T5" i="2"/>
  <c r="N6" i="2"/>
  <c r="Q6" i="2"/>
  <c r="P7" i="2"/>
  <c r="O6" i="2"/>
  <c r="M6" i="2"/>
  <c r="K7" i="2"/>
  <c r="S5" i="2"/>
  <c r="I6" i="2"/>
  <c r="G7" i="2"/>
  <c r="H6" i="2"/>
  <c r="Q5" i="2"/>
  <c r="R6" i="2"/>
  <c r="O7" i="2"/>
  <c r="M5" i="2"/>
  <c r="L6" i="2"/>
  <c r="S7" i="2"/>
  <c r="I5" i="2"/>
  <c r="J6" i="2"/>
  <c r="H7" i="2"/>
  <c r="F6" i="2"/>
  <c r="T6" i="2"/>
  <c r="N5" i="2"/>
  <c r="N7" i="2"/>
  <c r="W7" i="2" s="1"/>
  <c r="L14" i="1" l="1"/>
  <c r="H37" i="2" s="1"/>
  <c r="L16" i="1"/>
  <c r="J37" i="2" s="1"/>
  <c r="C6" i="4" s="1"/>
  <c r="I6" i="4" s="1"/>
  <c r="L13" i="1"/>
  <c r="G37" i="2" s="1"/>
  <c r="K37" i="2"/>
  <c r="D21" i="5" s="1"/>
  <c r="E21" i="5" s="1"/>
  <c r="M8" i="2"/>
  <c r="M17" i="2" s="1"/>
  <c r="L15" i="1"/>
  <c r="I8" i="2"/>
  <c r="G25" i="2" s="1"/>
  <c r="Q8" i="2"/>
  <c r="G33" i="2" s="1"/>
  <c r="T9" i="2"/>
  <c r="K36" i="2"/>
  <c r="D20" i="5" s="1"/>
  <c r="E20" i="5" s="1"/>
  <c r="K28" i="2"/>
  <c r="D12" i="5" s="1"/>
  <c r="E12" i="5" s="1"/>
  <c r="L9" i="2"/>
  <c r="K29" i="2"/>
  <c r="D13" i="5" s="1"/>
  <c r="E13" i="5" s="1"/>
  <c r="M9" i="2"/>
  <c r="W6" i="2"/>
  <c r="N9" i="2"/>
  <c r="K30" i="2"/>
  <c r="D14" i="5" s="1"/>
  <c r="E14" i="5" s="1"/>
  <c r="S8" i="2"/>
  <c r="F8" i="2"/>
  <c r="H8" i="2"/>
  <c r="K8" i="2"/>
  <c r="O8" i="2"/>
  <c r="G8" i="2"/>
  <c r="L8" i="2"/>
  <c r="P8" i="2"/>
  <c r="N8" i="2"/>
  <c r="W5" i="2"/>
  <c r="K22" i="2"/>
  <c r="D6" i="5" s="1"/>
  <c r="E6" i="5" s="1"/>
  <c r="F9" i="2"/>
  <c r="K26" i="2"/>
  <c r="D10" i="5" s="1"/>
  <c r="E10" i="5" s="1"/>
  <c r="J9" i="2"/>
  <c r="K34" i="2"/>
  <c r="D18" i="5" s="1"/>
  <c r="E18" i="5" s="1"/>
  <c r="R9" i="2"/>
  <c r="K24" i="2"/>
  <c r="D8" i="5" s="1"/>
  <c r="E8" i="5" s="1"/>
  <c r="H9" i="2"/>
  <c r="K25" i="2"/>
  <c r="D9" i="5" s="1"/>
  <c r="E9" i="5" s="1"/>
  <c r="I9" i="2"/>
  <c r="K31" i="2"/>
  <c r="D15" i="5" s="1"/>
  <c r="E15" i="5" s="1"/>
  <c r="O9" i="2"/>
  <c r="K33" i="2"/>
  <c r="D17" i="5" s="1"/>
  <c r="E17" i="5" s="1"/>
  <c r="Q9" i="2"/>
  <c r="G9" i="2"/>
  <c r="K23" i="2"/>
  <c r="D7" i="5" s="1"/>
  <c r="E7" i="5" s="1"/>
  <c r="S9" i="2"/>
  <c r="K35" i="2"/>
  <c r="D19" i="5" s="1"/>
  <c r="E19" i="5" s="1"/>
  <c r="P9" i="2"/>
  <c r="K32" i="2"/>
  <c r="D16" i="5" s="1"/>
  <c r="E16" i="5" s="1"/>
  <c r="K9" i="2"/>
  <c r="K27" i="2"/>
  <c r="D11" i="5" s="1"/>
  <c r="E11" i="5" s="1"/>
  <c r="T8" i="2"/>
  <c r="J8" i="2"/>
  <c r="R8" i="2"/>
  <c r="L20" i="1" l="1"/>
  <c r="C21" i="5"/>
  <c r="G21" i="5" s="1"/>
  <c r="G29" i="2"/>
  <c r="I17" i="2"/>
  <c r="Q17" i="2"/>
  <c r="I37" i="2"/>
  <c r="B21" i="5" s="1"/>
  <c r="F21" i="5" s="1"/>
  <c r="G26" i="2"/>
  <c r="J17" i="2"/>
  <c r="Q18" i="2"/>
  <c r="H33" i="2"/>
  <c r="J33" i="2" s="1"/>
  <c r="C17" i="5" s="1"/>
  <c r="H31" i="2"/>
  <c r="O18" i="2"/>
  <c r="H25" i="2"/>
  <c r="J25" i="2" s="1"/>
  <c r="C9" i="5" s="1"/>
  <c r="I18" i="2"/>
  <c r="H24" i="2"/>
  <c r="H18" i="2"/>
  <c r="H34" i="2"/>
  <c r="R18" i="2"/>
  <c r="J18" i="2"/>
  <c r="H26" i="2"/>
  <c r="H22" i="2"/>
  <c r="F18" i="2"/>
  <c r="P17" i="2"/>
  <c r="G32" i="2"/>
  <c r="G17" i="2"/>
  <c r="G23" i="2"/>
  <c r="K17" i="2"/>
  <c r="G27" i="2"/>
  <c r="F17" i="2"/>
  <c r="G22" i="2"/>
  <c r="H36" i="2"/>
  <c r="T18" i="2"/>
  <c r="G34" i="2"/>
  <c r="R17" i="2"/>
  <c r="G36" i="2"/>
  <c r="T17" i="2"/>
  <c r="K18" i="2"/>
  <c r="H27" i="2"/>
  <c r="P18" i="2"/>
  <c r="H32" i="2"/>
  <c r="H35" i="2"/>
  <c r="S18" i="2"/>
  <c r="H23" i="2"/>
  <c r="G18" i="2"/>
  <c r="N17" i="2"/>
  <c r="W8" i="2"/>
  <c r="G30" i="2"/>
  <c r="G28" i="2"/>
  <c r="L17" i="2"/>
  <c r="O17" i="2"/>
  <c r="G31" i="2"/>
  <c r="H17" i="2"/>
  <c r="G24" i="2"/>
  <c r="G35" i="2"/>
  <c r="S17" i="2"/>
  <c r="N18" i="2"/>
  <c r="W9" i="2"/>
  <c r="H30" i="2"/>
  <c r="H29" i="2"/>
  <c r="M18" i="2"/>
  <c r="L18" i="2"/>
  <c r="H28" i="2"/>
  <c r="I25" i="2" l="1"/>
  <c r="B9" i="5" s="1"/>
  <c r="G9" i="5"/>
  <c r="G17" i="5"/>
  <c r="J28" i="2"/>
  <c r="C12" i="5" s="1"/>
  <c r="G12" i="5" s="1"/>
  <c r="B6" i="4"/>
  <c r="F6" i="4" s="1"/>
  <c r="J23" i="2"/>
  <c r="C7" i="5" s="1"/>
  <c r="G7" i="5" s="1"/>
  <c r="J29" i="2"/>
  <c r="C13" i="5" s="1"/>
  <c r="G13" i="5" s="1"/>
  <c r="I24" i="2"/>
  <c r="B8" i="5" s="1"/>
  <c r="F8" i="5" s="1"/>
  <c r="I31" i="2"/>
  <c r="B15" i="5" s="1"/>
  <c r="F15" i="5" s="1"/>
  <c r="I36" i="2"/>
  <c r="B20" i="5" s="1"/>
  <c r="F20" i="5" s="1"/>
  <c r="I34" i="2"/>
  <c r="B18" i="5" s="1"/>
  <c r="F18" i="5" s="1"/>
  <c r="J26" i="2"/>
  <c r="C10" i="5" s="1"/>
  <c r="G10" i="5" s="1"/>
  <c r="I22" i="2"/>
  <c r="B6" i="5" s="1"/>
  <c r="F6" i="5" s="1"/>
  <c r="I29" i="2"/>
  <c r="B13" i="5" s="1"/>
  <c r="F13" i="5" s="1"/>
  <c r="I33" i="2"/>
  <c r="B17" i="5" s="1"/>
  <c r="F17" i="5" s="1"/>
  <c r="J32" i="2"/>
  <c r="C16" i="5" s="1"/>
  <c r="G16" i="5" s="1"/>
  <c r="J30" i="2"/>
  <c r="C14" i="5" s="1"/>
  <c r="G14" i="5" s="1"/>
  <c r="I35" i="2"/>
  <c r="B19" i="5" s="1"/>
  <c r="F19" i="5" s="1"/>
  <c r="J27" i="2"/>
  <c r="C11" i="5" s="1"/>
  <c r="G11" i="5" s="1"/>
  <c r="H6" i="4"/>
  <c r="I30" i="2"/>
  <c r="J35" i="2"/>
  <c r="C19" i="5" s="1"/>
  <c r="G19" i="5" s="1"/>
  <c r="J36" i="2"/>
  <c r="C20" i="5" s="1"/>
  <c r="G20" i="5" s="1"/>
  <c r="J22" i="2"/>
  <c r="C6" i="5" s="1"/>
  <c r="G6" i="5" s="1"/>
  <c r="J34" i="2"/>
  <c r="C18" i="5" s="1"/>
  <c r="G18" i="5" s="1"/>
  <c r="J24" i="2"/>
  <c r="C8" i="5" s="1"/>
  <c r="G8" i="5" s="1"/>
  <c r="J31" i="2"/>
  <c r="C15" i="5" s="1"/>
  <c r="G15" i="5" s="1"/>
  <c r="I26" i="2"/>
  <c r="B10" i="5" s="1"/>
  <c r="F10" i="5" s="1"/>
  <c r="I28" i="2"/>
  <c r="B12" i="5" s="1"/>
  <c r="F12" i="5" s="1"/>
  <c r="F9" i="5"/>
  <c r="I27" i="2"/>
  <c r="B11" i="5" s="1"/>
  <c r="F11" i="5" s="1"/>
  <c r="I23" i="2"/>
  <c r="B7" i="5" s="1"/>
  <c r="F7" i="5" s="1"/>
  <c r="I32" i="2"/>
  <c r="B16" i="5" s="1"/>
  <c r="F16" i="5" s="1"/>
  <c r="G6" i="4" l="1"/>
  <c r="W11" i="2"/>
  <c r="B14" i="5"/>
  <c r="F14" i="5" s="1"/>
  <c r="W10" i="2"/>
  <c r="F19" i="4"/>
  <c r="G27" i="4"/>
  <c r="G24" i="4"/>
  <c r="G22" i="4"/>
  <c r="G20" i="4"/>
  <c r="F17" i="4"/>
  <c r="F15" i="4"/>
  <c r="F13" i="4"/>
  <c r="F27" i="4"/>
  <c r="F11" i="4"/>
  <c r="F24" i="4"/>
  <c r="F22" i="4"/>
  <c r="F20" i="4"/>
  <c r="G17" i="4"/>
  <c r="G15" i="4"/>
  <c r="G13" i="4"/>
  <c r="G19" i="4"/>
  <c r="F25" i="4"/>
  <c r="F23" i="4"/>
  <c r="F21" i="4"/>
  <c r="G18" i="4"/>
  <c r="G16" i="4"/>
  <c r="G14" i="4"/>
  <c r="G12" i="4"/>
  <c r="G11" i="4"/>
  <c r="G25" i="4"/>
  <c r="G23" i="4"/>
  <c r="G21" i="4"/>
  <c r="F18" i="4"/>
  <c r="F16" i="4"/>
  <c r="F14" i="4"/>
  <c r="F12" i="4"/>
  <c r="L17" i="1" a="1"/>
  <c r="H12" i="4" l="1"/>
  <c r="B28" i="5"/>
  <c r="H16" i="4"/>
  <c r="B32" i="5"/>
  <c r="I21" i="4"/>
  <c r="C37" i="5"/>
  <c r="I25" i="4"/>
  <c r="C41" i="5"/>
  <c r="C28" i="5"/>
  <c r="I12" i="4"/>
  <c r="C32" i="5"/>
  <c r="I16" i="4"/>
  <c r="H21" i="4"/>
  <c r="B37" i="5"/>
  <c r="H25" i="4"/>
  <c r="B41" i="5"/>
  <c r="C29" i="5"/>
  <c r="I13" i="4"/>
  <c r="C33" i="5"/>
  <c r="I17" i="4"/>
  <c r="B38" i="5"/>
  <c r="H22" i="4"/>
  <c r="B27" i="5"/>
  <c r="H11" i="4"/>
  <c r="B29" i="5"/>
  <c r="H13" i="4"/>
  <c r="B33" i="5"/>
  <c r="H17" i="4"/>
  <c r="I22" i="4"/>
  <c r="C38" i="5"/>
  <c r="C42" i="5"/>
  <c r="G42" i="5" s="1"/>
  <c r="I27" i="4"/>
  <c r="H14" i="4"/>
  <c r="B30" i="5"/>
  <c r="H18" i="4"/>
  <c r="B34" i="5"/>
  <c r="I23" i="4"/>
  <c r="C39" i="5"/>
  <c r="I11" i="4"/>
  <c r="C27" i="5"/>
  <c r="C30" i="5"/>
  <c r="I14" i="4"/>
  <c r="C34" i="5"/>
  <c r="G34" i="5" s="1"/>
  <c r="I18" i="4"/>
  <c r="H23" i="4"/>
  <c r="B39" i="5"/>
  <c r="I19" i="4"/>
  <c r="W27" i="2"/>
  <c r="C35" i="5"/>
  <c r="C31" i="5"/>
  <c r="I15" i="4"/>
  <c r="B36" i="5"/>
  <c r="H20" i="4"/>
  <c r="B40" i="5"/>
  <c r="H24" i="4"/>
  <c r="B42" i="5"/>
  <c r="F42" i="5" s="1"/>
  <c r="H27" i="4"/>
  <c r="B31" i="5"/>
  <c r="H15" i="4"/>
  <c r="I20" i="4"/>
  <c r="C36" i="5"/>
  <c r="I24" i="4"/>
  <c r="C40" i="5"/>
  <c r="G40" i="5" s="1"/>
  <c r="W26" i="2"/>
  <c r="B35" i="5"/>
  <c r="H19" i="4"/>
  <c r="L17" i="1"/>
  <c r="D6" i="4" s="1"/>
  <c r="L18" i="1"/>
  <c r="E6" i="4" s="1"/>
  <c r="G31" i="5" l="1"/>
  <c r="F31" i="5"/>
  <c r="H42" i="5"/>
  <c r="G36" i="5"/>
  <c r="G35" i="5"/>
  <c r="G30" i="5"/>
  <c r="G27" i="5"/>
  <c r="G39" i="5"/>
  <c r="F35" i="5"/>
  <c r="H35" i="5" s="1"/>
  <c r="J35" i="5" s="1"/>
  <c r="N35" i="5" s="1"/>
  <c r="F33" i="5"/>
  <c r="F29" i="5"/>
  <c r="F27" i="5"/>
  <c r="F38" i="5"/>
  <c r="G33" i="5"/>
  <c r="H33" i="5" s="1"/>
  <c r="J33" i="5" s="1"/>
  <c r="N33" i="5" s="1"/>
  <c r="G29" i="5"/>
  <c r="G32" i="5"/>
  <c r="G28" i="5"/>
  <c r="F40" i="5"/>
  <c r="H40" i="5" s="1"/>
  <c r="J40" i="5" s="1"/>
  <c r="N40" i="5" s="1"/>
  <c r="F36" i="5"/>
  <c r="F39" i="5"/>
  <c r="F34" i="5"/>
  <c r="H34" i="5" s="1"/>
  <c r="J34" i="5" s="1"/>
  <c r="N34" i="5" s="1"/>
  <c r="F30" i="5"/>
  <c r="G38" i="5"/>
  <c r="F41" i="5"/>
  <c r="F37" i="5"/>
  <c r="G41" i="5"/>
  <c r="G37" i="5"/>
  <c r="F32" i="5"/>
  <c r="F28" i="5"/>
  <c r="H29" i="5" l="1"/>
  <c r="J29" i="5" s="1"/>
  <c r="N29" i="5" s="1"/>
  <c r="H31" i="5"/>
  <c r="J31" i="5" s="1"/>
  <c r="N31" i="5" s="1"/>
  <c r="H30" i="5"/>
  <c r="J30" i="5" s="1"/>
  <c r="N30" i="5" s="1"/>
  <c r="H36" i="5"/>
  <c r="J36" i="5" s="1"/>
  <c r="N36" i="5" s="1"/>
  <c r="H27" i="5"/>
  <c r="J27" i="5" s="1"/>
  <c r="N27" i="5" s="1"/>
  <c r="H32" i="5"/>
  <c r="J32" i="5" s="1"/>
  <c r="N32" i="5" s="1"/>
  <c r="H39" i="5"/>
  <c r="J39" i="5" s="1"/>
  <c r="N39" i="5" s="1"/>
  <c r="H28" i="5"/>
  <c r="J28" i="5" s="1"/>
  <c r="N28" i="5" s="1"/>
  <c r="H41" i="5"/>
  <c r="J41" i="5" s="1"/>
  <c r="N41" i="5" s="1"/>
  <c r="H38" i="5"/>
  <c r="J38" i="5" s="1"/>
  <c r="N38" i="5" s="1"/>
  <c r="H37" i="5"/>
  <c r="J37" i="5" s="1"/>
  <c r="N37" i="5" s="1"/>
  <c r="J43" i="5" l="1"/>
  <c r="J45" i="5"/>
</calcChain>
</file>

<file path=xl/sharedStrings.xml><?xml version="1.0" encoding="utf-8"?>
<sst xmlns="http://schemas.openxmlformats.org/spreadsheetml/2006/main" count="324" uniqueCount="194">
  <si>
    <t>5 GY 6/8</t>
  </si>
  <si>
    <t>2.5 G 6/6</t>
  </si>
  <si>
    <t>10 BG 6/4</t>
  </si>
  <si>
    <t>5 PB 6/8</t>
  </si>
  <si>
    <t>2.5 P 6/8</t>
  </si>
  <si>
    <t>CIE Publication 13.2(1974)</t>
  </si>
  <si>
    <t>TCS01</t>
  </si>
  <si>
    <t>TCS02</t>
  </si>
  <si>
    <t>TCS03</t>
  </si>
  <si>
    <t>TCS04</t>
  </si>
  <si>
    <t>TCS05</t>
  </si>
  <si>
    <t>TCS06</t>
  </si>
  <si>
    <r>
      <t>R</t>
    </r>
    <r>
      <rPr>
        <sz val="9"/>
        <color indexed="23"/>
        <rFont val="Geneva"/>
      </rPr>
      <t>all</t>
    </r>
  </si>
  <si>
    <t>Distance of</t>
  </si>
  <si>
    <t>von Kries chromatic adaptation formula</t>
  </si>
  <si>
    <r>
      <t>v'</t>
    </r>
    <r>
      <rPr>
        <sz val="9"/>
        <color indexed="10"/>
        <rFont val="Geneva"/>
      </rPr>
      <t>k</t>
    </r>
  </si>
  <si>
    <r>
      <t>u</t>
    </r>
    <r>
      <rPr>
        <sz val="10"/>
        <color indexed="12"/>
        <rFont val="Geneva"/>
      </rPr>
      <t>r</t>
    </r>
  </si>
  <si>
    <r>
      <t>v</t>
    </r>
    <r>
      <rPr>
        <sz val="10"/>
        <color indexed="12"/>
        <rFont val="Geneva"/>
      </rPr>
      <t>r</t>
    </r>
  </si>
  <si>
    <t>u k,i</t>
  </si>
  <si>
    <t>v k,i</t>
  </si>
  <si>
    <r>
      <t>∆E</t>
    </r>
    <r>
      <rPr>
        <sz val="9"/>
        <rFont val="Geneva"/>
      </rPr>
      <t>i</t>
    </r>
  </si>
  <si>
    <t>7.5  R 6/4</t>
  </si>
  <si>
    <t>5  Y6/4</t>
  </si>
  <si>
    <t xml:space="preserve"> Sqrt of d(i-1)^2</t>
  </si>
  <si>
    <t xml:space="preserve"> Sqrt of d(i+1)^2</t>
  </si>
  <si>
    <t xml:space="preserve"> T(+1)-T(-1)</t>
  </si>
  <si>
    <t xml:space="preserve"> x in distance</t>
  </si>
  <si>
    <t xml:space="preserve"> x in temp</t>
  </si>
  <si>
    <t>h</t>
  </si>
  <si>
    <t>correction factor, Final results T</t>
  </si>
  <si>
    <t>T</t>
  </si>
  <si>
    <t>∆uv</t>
  </si>
  <si>
    <t>3 PB 3/11</t>
  </si>
  <si>
    <t>4.5 R 4/13</t>
  </si>
  <si>
    <t>10 P 6/8</t>
  </si>
  <si>
    <t>5 Y 8/10</t>
  </si>
  <si>
    <t>light greyish red</t>
  </si>
  <si>
    <t>Dark greyish yellow</t>
  </si>
  <si>
    <t>&lt;-----------</t>
  </si>
  <si>
    <t>Japanese skin</t>
  </si>
  <si>
    <t>TCS15</t>
  </si>
  <si>
    <r>
      <t>R</t>
    </r>
    <r>
      <rPr>
        <sz val="7"/>
        <rFont val="Geneva"/>
      </rPr>
      <t>15</t>
    </r>
  </si>
  <si>
    <t>adaptation correction</t>
  </si>
  <si>
    <r>
      <t>R</t>
    </r>
    <r>
      <rPr>
        <b/>
        <sz val="9"/>
        <rFont val="Geneva"/>
      </rPr>
      <t>a</t>
    </r>
  </si>
  <si>
    <r>
      <t>R</t>
    </r>
    <r>
      <rPr>
        <sz val="9"/>
        <rFont val="Geneva"/>
      </rPr>
      <t>2</t>
    </r>
  </si>
  <si>
    <r>
      <t>R</t>
    </r>
    <r>
      <rPr>
        <sz val="9"/>
        <rFont val="Geneva"/>
      </rPr>
      <t>1</t>
    </r>
  </si>
  <si>
    <r>
      <t>R</t>
    </r>
    <r>
      <rPr>
        <sz val="9"/>
        <rFont val="Geneva"/>
      </rPr>
      <t>3</t>
    </r>
  </si>
  <si>
    <r>
      <t>R</t>
    </r>
    <r>
      <rPr>
        <sz val="9"/>
        <rFont val="Geneva"/>
      </rPr>
      <t>4</t>
    </r>
  </si>
  <si>
    <r>
      <t>R</t>
    </r>
    <r>
      <rPr>
        <sz val="9"/>
        <rFont val="Geneva"/>
      </rPr>
      <t>5</t>
    </r>
  </si>
  <si>
    <r>
      <t>R</t>
    </r>
    <r>
      <rPr>
        <sz val="9"/>
        <rFont val="Geneva"/>
      </rPr>
      <t>6</t>
    </r>
  </si>
  <si>
    <r>
      <t>R</t>
    </r>
    <r>
      <rPr>
        <sz val="9"/>
        <rFont val="Geneva"/>
      </rPr>
      <t>7</t>
    </r>
  </si>
  <si>
    <r>
      <t>R</t>
    </r>
    <r>
      <rPr>
        <sz val="9"/>
        <rFont val="Geneva"/>
      </rPr>
      <t>8</t>
    </r>
  </si>
  <si>
    <r>
      <t>R</t>
    </r>
    <r>
      <rPr>
        <sz val="9"/>
        <rFont val="Geneva"/>
      </rPr>
      <t>9</t>
    </r>
  </si>
  <si>
    <r>
      <t>R</t>
    </r>
    <r>
      <rPr>
        <sz val="7"/>
        <rFont val="Geneva"/>
      </rPr>
      <t>10</t>
    </r>
  </si>
  <si>
    <r>
      <t>R</t>
    </r>
    <r>
      <rPr>
        <sz val="7"/>
        <rFont val="Geneva"/>
      </rPr>
      <t>11</t>
    </r>
  </si>
  <si>
    <r>
      <t>R</t>
    </r>
    <r>
      <rPr>
        <sz val="7"/>
        <rFont val="Geneva"/>
      </rPr>
      <t>12</t>
    </r>
  </si>
  <si>
    <r>
      <t>R</t>
    </r>
    <r>
      <rPr>
        <sz val="7"/>
        <rFont val="Geneva"/>
      </rPr>
      <t>13</t>
    </r>
  </si>
  <si>
    <r>
      <t>R</t>
    </r>
    <r>
      <rPr>
        <sz val="7"/>
        <rFont val="Geneva"/>
      </rPr>
      <t>14</t>
    </r>
  </si>
  <si>
    <r>
      <t>Y</t>
    </r>
    <r>
      <rPr>
        <sz val="9"/>
        <color indexed="12"/>
        <rFont val="Geneva"/>
      </rPr>
      <t xml:space="preserve"> r,i</t>
    </r>
  </si>
  <si>
    <t>Source</t>
  </si>
  <si>
    <r>
      <t>U*</t>
    </r>
    <r>
      <rPr>
        <sz val="9"/>
        <rFont val="Geneva"/>
      </rPr>
      <t>k,i</t>
    </r>
  </si>
  <si>
    <r>
      <t>W*</t>
    </r>
    <r>
      <rPr>
        <sz val="9"/>
        <rFont val="Geneva"/>
      </rPr>
      <t>k,i</t>
    </r>
  </si>
  <si>
    <t xml:space="preserve"> --&gt;</t>
  </si>
  <si>
    <t>Calculation of Color Rendering Index</t>
  </si>
  <si>
    <t>Calculation of chromaticity coordinates of samples</t>
  </si>
  <si>
    <t xml:space="preserve">   d^2</t>
  </si>
  <si>
    <t xml:space="preserve"> </t>
  </si>
  <si>
    <t>Strong red</t>
  </si>
  <si>
    <t>Strong yellow</t>
  </si>
  <si>
    <t>Strong green</t>
  </si>
  <si>
    <t>Strong blue</t>
  </si>
  <si>
    <t>Light yellowish pink</t>
  </si>
  <si>
    <t>Moderate olive green</t>
  </si>
  <si>
    <t>uk</t>
  </si>
  <si>
    <t>vk</t>
  </si>
  <si>
    <t>∆u</t>
  </si>
  <si>
    <t>∆v</t>
  </si>
  <si>
    <r>
      <t>u</t>
    </r>
    <r>
      <rPr>
        <sz val="10"/>
        <color indexed="10"/>
        <rFont val="Geneva"/>
      </rPr>
      <t>k</t>
    </r>
  </si>
  <si>
    <r>
      <t>v</t>
    </r>
    <r>
      <rPr>
        <sz val="10"/>
        <color indexed="10"/>
        <rFont val="Geneva"/>
      </rPr>
      <t>k</t>
    </r>
  </si>
  <si>
    <t>Original u,v coordinates</t>
  </si>
  <si>
    <t xml:space="preserve">u,v after chromatic </t>
  </si>
  <si>
    <t>CIE Publ. 15.2 Table 1.2</t>
  </si>
  <si>
    <t>S0</t>
  </si>
  <si>
    <t>S1</t>
  </si>
  <si>
    <t>S2</t>
  </si>
  <si>
    <t>XD=</t>
  </si>
  <si>
    <t>T=</t>
  </si>
  <si>
    <t>4000-7000K</t>
  </si>
  <si>
    <t>7000-25000K</t>
  </si>
  <si>
    <t>YD=</t>
  </si>
  <si>
    <t>Automatic selection</t>
  </si>
  <si>
    <t>M1=</t>
  </si>
  <si>
    <t>M2=</t>
  </si>
  <si>
    <t>Illuminant</t>
  </si>
  <si>
    <t>Wavelength</t>
  </si>
  <si>
    <t>Result</t>
  </si>
  <si>
    <t>TCS07</t>
  </si>
  <si>
    <t>TCS08</t>
  </si>
  <si>
    <t>TCS09</t>
  </si>
  <si>
    <t>TCS10</t>
  </si>
  <si>
    <t>TCS11</t>
  </si>
  <si>
    <t>TCS12</t>
  </si>
  <si>
    <t>TCS13</t>
  </si>
  <si>
    <t>TCS14</t>
  </si>
  <si>
    <t>Wavelength (nm)</t>
  </si>
  <si>
    <t>x-bar</t>
  </si>
  <si>
    <t>y-bar</t>
  </si>
  <si>
    <t>z-bar</t>
  </si>
  <si>
    <t>X</t>
  </si>
  <si>
    <t>Y</t>
  </si>
  <si>
    <t>Z</t>
  </si>
  <si>
    <t>x</t>
  </si>
  <si>
    <t>y</t>
  </si>
  <si>
    <t>∆x</t>
  </si>
  <si>
    <t>∆y</t>
  </si>
  <si>
    <t>14 samples(Meas)</t>
  </si>
  <si>
    <t>Reference</t>
  </si>
  <si>
    <t>Test</t>
  </si>
  <si>
    <t>Test source</t>
  </si>
  <si>
    <t>normalized</t>
  </si>
  <si>
    <t>normallized</t>
  </si>
  <si>
    <t xml:space="preserve">  maximum</t>
  </si>
  <si>
    <t>CCT</t>
  </si>
  <si>
    <t xml:space="preserve"> 1000-20000K</t>
  </si>
  <si>
    <t xml:space="preserve">       (u,v)</t>
  </si>
  <si>
    <t xml:space="preserve">   d</t>
  </si>
  <si>
    <t>4.5 G 5/8</t>
  </si>
  <si>
    <t>Ti+1, Ti-1</t>
  </si>
  <si>
    <t xml:space="preserve"> Ti</t>
  </si>
  <si>
    <t>Color Temp</t>
  </si>
  <si>
    <t>u</t>
  </si>
  <si>
    <t>v</t>
  </si>
  <si>
    <t>Distance ^2</t>
  </si>
  <si>
    <t xml:space="preserve"> T(i)--&gt;D5</t>
  </si>
  <si>
    <t xml:space="preserve"> u(i+1)</t>
  </si>
  <si>
    <t xml:space="preserve"> v(i+1)</t>
  </si>
  <si>
    <t xml:space="preserve"> u(i-1)</t>
  </si>
  <si>
    <t xml:space="preserve"> v(i-1)</t>
  </si>
  <si>
    <t xml:space="preserve"> Dist. Ti+1,Ti-1</t>
  </si>
  <si>
    <t xml:space="preserve"> T(i+1)</t>
  </si>
  <si>
    <t xml:space="preserve"> --&gt;D6</t>
  </si>
  <si>
    <t xml:space="preserve"> d(i+1)^2</t>
  </si>
  <si>
    <t xml:space="preserve"> --&gt;G6</t>
  </si>
  <si>
    <t xml:space="preserve"> T(i-1)</t>
  </si>
  <si>
    <t xml:space="preserve"> --D4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</si>
  <si>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</si>
  <si>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</si>
  <si>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</si>
  <si>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</si>
  <si>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</si>
  <si>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5 GY 4/4</t>
  </si>
  <si>
    <t>Planck's Law</t>
  </si>
  <si>
    <t>DC</t>
  </si>
  <si>
    <t>Selected</t>
  </si>
  <si>
    <t>ck</t>
  </si>
  <si>
    <t>dk</t>
  </si>
  <si>
    <t>cr</t>
  </si>
  <si>
    <t>dr</t>
  </si>
  <si>
    <t>changes by adaptation</t>
  </si>
  <si>
    <t>Ref source</t>
  </si>
  <si>
    <t>Chromaticity by Test source</t>
  </si>
  <si>
    <t>after von Kris chromatic adaption</t>
  </si>
  <si>
    <t>by Reference source</t>
  </si>
  <si>
    <t xml:space="preserve">Chromaticity </t>
  </si>
  <si>
    <t>5 YR 8/4</t>
  </si>
  <si>
    <t>14 samples(Reference)</t>
  </si>
  <si>
    <r>
      <t>Y</t>
    </r>
    <r>
      <rPr>
        <sz val="9"/>
        <color indexed="10"/>
        <rFont val="Geneva"/>
      </rPr>
      <t xml:space="preserve"> k,i</t>
    </r>
  </si>
  <si>
    <r>
      <t>V*</t>
    </r>
    <r>
      <rPr>
        <sz val="9"/>
        <color indexed="8"/>
        <rFont val="Geneva"/>
      </rPr>
      <t>k,i</t>
    </r>
  </si>
  <si>
    <r>
      <t>W*</t>
    </r>
    <r>
      <rPr>
        <sz val="9"/>
        <rFont val="Geneva"/>
      </rPr>
      <t>r,i</t>
    </r>
  </si>
  <si>
    <r>
      <t>U*</t>
    </r>
    <r>
      <rPr>
        <sz val="9"/>
        <rFont val="Geneva"/>
      </rPr>
      <t>r,i</t>
    </r>
  </si>
  <si>
    <r>
      <t>V*</t>
    </r>
    <r>
      <rPr>
        <sz val="9"/>
        <color indexed="8"/>
        <rFont val="Geneva"/>
      </rPr>
      <t>r,i</t>
    </r>
  </si>
  <si>
    <t>u'k,i</t>
  </si>
  <si>
    <t>v'k,i</t>
  </si>
  <si>
    <t>ck,i</t>
  </si>
  <si>
    <t>dk,i</t>
  </si>
  <si>
    <r>
      <t>u'</t>
    </r>
    <r>
      <rPr>
        <sz val="9"/>
        <color indexed="10"/>
        <rFont val="Geneva"/>
      </rPr>
      <t>k</t>
    </r>
  </si>
  <si>
    <t>Strong yellow green</t>
  </si>
  <si>
    <t>Moderate yellowish green</t>
  </si>
  <si>
    <t>Light bluish green</t>
  </si>
  <si>
    <t>Light blue</t>
  </si>
  <si>
    <t>Light violet</t>
  </si>
  <si>
    <t>Light reddish purple</t>
  </si>
  <si>
    <t>Normalised</t>
  </si>
  <si>
    <t>Normalized</t>
  </si>
  <si>
    <t>Planck</t>
  </si>
  <si>
    <t>Daylight</t>
  </si>
  <si>
    <t>YN</t>
  </si>
  <si>
    <t>X ref</t>
  </si>
  <si>
    <t>X test</t>
  </si>
  <si>
    <t>u vk</t>
  </si>
  <si>
    <t>v vk</t>
  </si>
  <si>
    <t>¯</t>
  </si>
  <si>
    <t>PUT TEST LAMP DATA IN THIS COLUMN</t>
  </si>
  <si>
    <t>RGB laser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</si>
</sst>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"/>
    <numFmt numFmtId="165" formatCode="0.0000"/>
    <numFmt numFmtId="166" formatCode="0.0"/>
    <numFmt numFmtId="167" formatCode="0.000000"/>
    <numFmt numFmtId="168" formatCode="0.00000"/>
    <numFmt numFmtId="169" formatCode="0.0000E+00"/>
  </numFmts>
  <fonts count="27">
    <font>
      <sz val="9"/>
      <name val="Geneva"/>
    </font>
    <font>
      <b/>
      <sz val="9"/>
      <name val="Geneva"/>
    </font>
    <font>
      <sz val="9"/>
      <name val="Geneva"/>
    </font>
    <font>
      <sz val="10"/>
      <name val="Geneva"/>
    </font>
    <font>
      <sz val="10"/>
      <color indexed="12"/>
      <name val="Geneva"/>
    </font>
    <font>
      <sz val="9"/>
      <color indexed="12"/>
      <name val="Geneva"/>
    </font>
    <font>
      <sz val="10"/>
      <color indexed="10"/>
      <name val="Geneva"/>
    </font>
    <font>
      <sz val="10"/>
      <color indexed="11"/>
      <name val="Geneva"/>
    </font>
    <font>
      <b/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0"/>
      <name val="Geneva"/>
    </font>
    <font>
      <sz val="10"/>
      <color indexed="8"/>
      <name val="Geneva"/>
    </font>
    <font>
      <sz val="9"/>
      <color indexed="8"/>
      <name val="Geneva"/>
    </font>
    <font>
      <sz val="12"/>
      <color indexed="10"/>
      <name val="Geneva"/>
    </font>
    <font>
      <sz val="12"/>
      <color indexed="12"/>
      <name val="Geneva"/>
    </font>
    <font>
      <sz val="12"/>
      <name val="Geneva"/>
    </font>
    <font>
      <sz val="12"/>
      <color indexed="8"/>
      <name val="Geneva"/>
    </font>
    <font>
      <sz val="7"/>
      <name val="Geneva"/>
    </font>
    <font>
      <b/>
      <sz val="14"/>
      <name val="Geneva"/>
    </font>
    <font>
      <b/>
      <sz val="12"/>
      <name val="Geneva"/>
    </font>
    <font>
      <sz val="9"/>
      <color indexed="17"/>
      <name val="Geneva"/>
    </font>
    <font>
      <sz val="14"/>
      <color indexed="23"/>
      <name val="Geneva"/>
    </font>
    <font>
      <sz val="9"/>
      <color indexed="23"/>
      <name val="Geneva"/>
    </font>
    <font>
      <sz val="10"/>
      <color indexed="23"/>
      <name val="Geneva"/>
    </font>
    <font>
      <b/>
      <sz val="10"/>
      <color indexed="10"/>
      <name val="Symbol"/>
      <family val="1"/>
      <charset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164" fontId="3" fillId="0" borderId="0" xfId="0" applyNumberFormat="1" applyFont="1" applyBorder="1"/>
    <xf numFmtId="164" fontId="3" fillId="0" borderId="0" xfId="0" applyNumberFormat="1" applyFont="1" applyBorder="1" applyAlignment="1">
      <alignment horizontal="center"/>
    </xf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0" fillId="0" borderId="1" xfId="0" applyBorder="1"/>
    <xf numFmtId="164" fontId="3" fillId="0" borderId="0" xfId="0" applyNumberFormat="1" applyFont="1" applyBorder="1" applyAlignment="1">
      <alignment horizontal="right"/>
    </xf>
    <xf numFmtId="0" fontId="5" fillId="0" borderId="0" xfId="0" applyFont="1" applyBorder="1"/>
    <xf numFmtId="164" fontId="4" fillId="0" borderId="0" xfId="0" applyNumberFormat="1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165" fontId="5" fillId="0" borderId="0" xfId="0" applyNumberFormat="1" applyFont="1" applyBorder="1"/>
    <xf numFmtId="0" fontId="5" fillId="0" borderId="0" xfId="0" applyFont="1"/>
    <xf numFmtId="165" fontId="5" fillId="0" borderId="0" xfId="0" applyNumberFormat="1" applyFont="1"/>
    <xf numFmtId="164" fontId="6" fillId="0" borderId="0" xfId="0" applyNumberFormat="1" applyFont="1" applyBorder="1" applyAlignment="1">
      <alignment horizontal="right"/>
    </xf>
    <xf numFmtId="164" fontId="6" fillId="0" borderId="0" xfId="0" applyNumberFormat="1" applyFont="1" applyBorder="1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0" fontId="7" fillId="0" borderId="0" xfId="0" applyFont="1"/>
    <xf numFmtId="166" fontId="0" fillId="0" borderId="0" xfId="0" applyNumberFormat="1"/>
    <xf numFmtId="0" fontId="0" fillId="0" borderId="0" xfId="0" applyNumberFormat="1"/>
    <xf numFmtId="166" fontId="4" fillId="0" borderId="0" xfId="0" applyNumberFormat="1" applyFont="1"/>
    <xf numFmtId="0" fontId="4" fillId="0" borderId="0" xfId="0" applyNumberFormat="1" applyFont="1"/>
    <xf numFmtId="166" fontId="6" fillId="0" borderId="0" xfId="0" applyNumberFormat="1" applyFont="1"/>
    <xf numFmtId="0" fontId="6" fillId="0" borderId="0" xfId="0" applyNumberFormat="1" applyFont="1"/>
    <xf numFmtId="11" fontId="0" fillId="0" borderId="0" xfId="0" applyNumberFormat="1"/>
    <xf numFmtId="0" fontId="0" fillId="0" borderId="2" xfId="0" applyBorder="1" applyAlignment="1">
      <alignment horizontal="center"/>
    </xf>
    <xf numFmtId="168" fontId="0" fillId="0" borderId="0" xfId="0" applyNumberFormat="1"/>
    <xf numFmtId="2" fontId="5" fillId="0" borderId="0" xfId="0" applyNumberFormat="1" applyFont="1"/>
    <xf numFmtId="1" fontId="5" fillId="0" borderId="0" xfId="0" applyNumberFormat="1" applyFont="1"/>
    <xf numFmtId="11" fontId="0" fillId="0" borderId="2" xfId="0" applyNumberFormat="1" applyBorder="1"/>
    <xf numFmtId="0" fontId="0" fillId="0" borderId="2" xfId="0" applyBorder="1"/>
    <xf numFmtId="1" fontId="9" fillId="0" borderId="3" xfId="0" applyNumberFormat="1" applyFont="1" applyBorder="1"/>
    <xf numFmtId="0" fontId="10" fillId="0" borderId="0" xfId="0" applyFont="1"/>
    <xf numFmtId="0" fontId="10" fillId="0" borderId="2" xfId="0" applyFont="1" applyBorder="1"/>
    <xf numFmtId="165" fontId="10" fillId="0" borderId="0" xfId="0" applyNumberFormat="1" applyFont="1"/>
    <xf numFmtId="11" fontId="5" fillId="0" borderId="0" xfId="0" applyNumberFormat="1" applyFont="1"/>
    <xf numFmtId="0" fontId="5" fillId="0" borderId="2" xfId="0" applyFont="1" applyBorder="1"/>
    <xf numFmtId="165" fontId="5" fillId="0" borderId="0" xfId="0" applyNumberFormat="1" applyFont="1" applyAlignment="1">
      <alignment horizontal="right"/>
    </xf>
    <xf numFmtId="1" fontId="10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center"/>
    </xf>
    <xf numFmtId="49" fontId="3" fillId="0" borderId="4" xfId="0" applyNumberFormat="1" applyFont="1" applyBorder="1" applyAlignment="1">
      <alignment horizontal="center"/>
    </xf>
    <xf numFmtId="49" fontId="6" fillId="0" borderId="5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165" fontId="10" fillId="0" borderId="7" xfId="0" applyNumberFormat="1" applyFont="1" applyBorder="1"/>
    <xf numFmtId="165" fontId="10" fillId="0" borderId="8" xfId="0" applyNumberFormat="1" applyFont="1" applyBorder="1"/>
    <xf numFmtId="0" fontId="0" fillId="0" borderId="0" xfId="0" applyAlignment="1">
      <alignment horizontal="center"/>
    </xf>
    <xf numFmtId="165" fontId="5" fillId="0" borderId="9" xfId="0" applyNumberFormat="1" applyFont="1" applyBorder="1"/>
    <xf numFmtId="165" fontId="5" fillId="0" borderId="10" xfId="0" applyNumberFormat="1" applyFont="1" applyBorder="1"/>
    <xf numFmtId="165" fontId="5" fillId="0" borderId="2" xfId="0" applyNumberFormat="1" applyFont="1" applyBorder="1"/>
    <xf numFmtId="165" fontId="5" fillId="0" borderId="11" xfId="0" applyNumberFormat="1" applyFont="1" applyBorder="1"/>
    <xf numFmtId="49" fontId="4" fillId="0" borderId="2" xfId="0" applyNumberFormat="1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13" fillId="0" borderId="0" xfId="0" applyFont="1"/>
    <xf numFmtId="165" fontId="10" fillId="0" borderId="12" xfId="0" applyNumberFormat="1" applyFont="1" applyBorder="1"/>
    <xf numFmtId="165" fontId="10" fillId="0" borderId="9" xfId="0" applyNumberFormat="1" applyFont="1" applyBorder="1"/>
    <xf numFmtId="165" fontId="10" fillId="0" borderId="13" xfId="0" applyNumberFormat="1" applyFont="1" applyBorder="1"/>
    <xf numFmtId="165" fontId="10" fillId="0" borderId="10" xfId="0" applyNumberFormat="1" applyFont="1" applyBorder="1"/>
    <xf numFmtId="0" fontId="5" fillId="0" borderId="13" xfId="0" applyFont="1" applyBorder="1"/>
    <xf numFmtId="165" fontId="10" fillId="0" borderId="1" xfId="0" applyNumberFormat="1" applyFont="1" applyBorder="1"/>
    <xf numFmtId="165" fontId="10" fillId="0" borderId="11" xfId="0" applyNumberFormat="1" applyFont="1" applyBorder="1"/>
    <xf numFmtId="165" fontId="5" fillId="0" borderId="12" xfId="0" applyNumberFormat="1" applyFont="1" applyBorder="1"/>
    <xf numFmtId="165" fontId="5" fillId="0" borderId="13" xfId="0" applyNumberFormat="1" applyFont="1" applyBorder="1"/>
    <xf numFmtId="165" fontId="5" fillId="0" borderId="1" xfId="0" applyNumberFormat="1" applyFont="1" applyBorder="1"/>
    <xf numFmtId="164" fontId="4" fillId="0" borderId="12" xfId="0" applyNumberFormat="1" applyFont="1" applyBorder="1"/>
    <xf numFmtId="0" fontId="5" fillId="0" borderId="4" xfId="0" applyFont="1" applyBorder="1"/>
    <xf numFmtId="0" fontId="5" fillId="0" borderId="9" xfId="0" applyFont="1" applyBorder="1"/>
    <xf numFmtId="164" fontId="4" fillId="0" borderId="1" xfId="0" applyNumberFormat="1" applyFont="1" applyBorder="1"/>
    <xf numFmtId="0" fontId="5" fillId="0" borderId="11" xfId="0" applyFont="1" applyBorder="1" applyAlignment="1">
      <alignment horizontal="center"/>
    </xf>
    <xf numFmtId="164" fontId="4" fillId="0" borderId="13" xfId="0" applyNumberFormat="1" applyFont="1" applyBorder="1"/>
    <xf numFmtId="0" fontId="10" fillId="0" borderId="0" xfId="0" applyFont="1" applyBorder="1"/>
    <xf numFmtId="0" fontId="10" fillId="0" borderId="0" xfId="0" applyFont="1" applyBorder="1" applyAlignment="1">
      <alignment horizontal="right"/>
    </xf>
    <xf numFmtId="165" fontId="10" fillId="0" borderId="0" xfId="0" applyNumberFormat="1" applyFont="1" applyBorder="1"/>
    <xf numFmtId="164" fontId="12" fillId="0" borderId="0" xfId="0" applyNumberFormat="1" applyFont="1" applyBorder="1" applyAlignment="1">
      <alignment horizontal="right"/>
    </xf>
    <xf numFmtId="164" fontId="12" fillId="0" borderId="0" xfId="0" applyNumberFormat="1" applyFont="1" applyBorder="1"/>
    <xf numFmtId="0" fontId="10" fillId="0" borderId="12" xfId="0" applyFont="1" applyBorder="1"/>
    <xf numFmtId="0" fontId="10" fillId="0" borderId="4" xfId="0" applyFont="1" applyBorder="1"/>
    <xf numFmtId="0" fontId="10" fillId="0" borderId="9" xfId="0" applyFont="1" applyBorder="1"/>
    <xf numFmtId="0" fontId="10" fillId="0" borderId="1" xfId="0" applyFont="1" applyBorder="1"/>
    <xf numFmtId="49" fontId="6" fillId="0" borderId="2" xfId="0" applyNumberFormat="1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165" fontId="10" fillId="0" borderId="2" xfId="0" applyNumberFormat="1" applyFont="1" applyBorder="1"/>
    <xf numFmtId="2" fontId="5" fillId="0" borderId="10" xfId="0" applyNumberFormat="1" applyFont="1" applyBorder="1"/>
    <xf numFmtId="2" fontId="5" fillId="0" borderId="11" xfId="0" applyNumberFormat="1" applyFont="1" applyBorder="1"/>
    <xf numFmtId="2" fontId="10" fillId="0" borderId="10" xfId="0" applyNumberFormat="1" applyFont="1" applyBorder="1"/>
    <xf numFmtId="2" fontId="10" fillId="0" borderId="11" xfId="0" applyNumberFormat="1" applyFont="1" applyBorder="1"/>
    <xf numFmtId="0" fontId="5" fillId="0" borderId="12" xfId="0" applyFont="1" applyBorder="1"/>
    <xf numFmtId="2" fontId="10" fillId="0" borderId="0" xfId="0" applyNumberFormat="1" applyFont="1"/>
    <xf numFmtId="2" fontId="13" fillId="0" borderId="0" xfId="0" applyNumberFormat="1" applyFont="1"/>
    <xf numFmtId="2" fontId="14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16" fillId="0" borderId="0" xfId="0" applyFont="1" applyAlignment="1">
      <alignment horizontal="center"/>
    </xf>
    <xf numFmtId="49" fontId="17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49" fontId="3" fillId="0" borderId="12" xfId="0" applyNumberFormat="1" applyFont="1" applyBorder="1" applyAlignment="1">
      <alignment horizontal="center"/>
    </xf>
    <xf numFmtId="165" fontId="14" fillId="0" borderId="13" xfId="0" applyNumberFormat="1" applyFont="1" applyBorder="1" applyAlignment="1">
      <alignment horizontal="center"/>
    </xf>
    <xf numFmtId="165" fontId="14" fillId="0" borderId="10" xfId="0" applyNumberFormat="1" applyFont="1" applyBorder="1" applyAlignment="1">
      <alignment horizontal="center"/>
    </xf>
    <xf numFmtId="165" fontId="10" fillId="0" borderId="16" xfId="0" applyNumberFormat="1" applyFont="1" applyBorder="1"/>
    <xf numFmtId="165" fontId="10" fillId="0" borderId="17" xfId="0" applyNumberFormat="1" applyFont="1" applyBorder="1"/>
    <xf numFmtId="165" fontId="0" fillId="0" borderId="13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49" fontId="14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5" fillId="0" borderId="0" xfId="0" applyNumberFormat="1" applyFont="1"/>
    <xf numFmtId="0" fontId="0" fillId="0" borderId="13" xfId="0" applyBorder="1"/>
    <xf numFmtId="0" fontId="1" fillId="0" borderId="0" xfId="0" applyFont="1" applyAlignment="1">
      <alignment horizontal="right"/>
    </xf>
    <xf numFmtId="1" fontId="1" fillId="0" borderId="0" xfId="0" applyNumberFormat="1" applyFont="1"/>
    <xf numFmtId="11" fontId="10" fillId="0" borderId="0" xfId="0" applyNumberFormat="1" applyFont="1"/>
    <xf numFmtId="165" fontId="10" fillId="0" borderId="0" xfId="0" applyNumberFormat="1" applyFont="1" applyAlignment="1">
      <alignment horizontal="right"/>
    </xf>
    <xf numFmtId="165" fontId="8" fillId="0" borderId="0" xfId="0" applyNumberFormat="1" applyFont="1"/>
    <xf numFmtId="0" fontId="8" fillId="0" borderId="0" xfId="0" applyFont="1"/>
    <xf numFmtId="165" fontId="8" fillId="0" borderId="0" xfId="0" applyNumberFormat="1" applyFont="1" applyAlignment="1">
      <alignment horizontal="right"/>
    </xf>
    <xf numFmtId="0" fontId="1" fillId="0" borderId="0" xfId="0" applyFont="1"/>
    <xf numFmtId="0" fontId="10" fillId="0" borderId="13" xfId="0" applyFont="1" applyBorder="1"/>
    <xf numFmtId="0" fontId="8" fillId="0" borderId="0" xfId="0" applyFont="1" applyAlignment="1">
      <alignment horizontal="center"/>
    </xf>
    <xf numFmtId="0" fontId="19" fillId="0" borderId="0" xfId="0" applyFont="1"/>
    <xf numFmtId="0" fontId="2" fillId="0" borderId="0" xfId="0" applyFont="1" applyAlignment="1">
      <alignment horizontal="right"/>
    </xf>
    <xf numFmtId="165" fontId="2" fillId="0" borderId="0" xfId="0" applyNumberFormat="1" applyFont="1"/>
    <xf numFmtId="11" fontId="5" fillId="0" borderId="13" xfId="0" applyNumberFormat="1" applyFont="1" applyBorder="1"/>
    <xf numFmtId="1" fontId="5" fillId="0" borderId="13" xfId="0" applyNumberFormat="1" applyFont="1" applyBorder="1"/>
    <xf numFmtId="165" fontId="5" fillId="0" borderId="13" xfId="0" applyNumberFormat="1" applyFont="1" applyBorder="1" applyAlignment="1">
      <alignment horizontal="right"/>
    </xf>
    <xf numFmtId="165" fontId="8" fillId="0" borderId="13" xfId="0" applyNumberFormat="1" applyFont="1" applyBorder="1"/>
    <xf numFmtId="164" fontId="4" fillId="0" borderId="14" xfId="0" applyNumberFormat="1" applyFont="1" applyBorder="1"/>
    <xf numFmtId="165" fontId="5" fillId="0" borderId="14" xfId="0" applyNumberFormat="1" applyFont="1" applyBorder="1"/>
    <xf numFmtId="165" fontId="5" fillId="0" borderId="18" xfId="0" applyNumberFormat="1" applyFont="1" applyBorder="1"/>
    <xf numFmtId="166" fontId="5" fillId="0" borderId="18" xfId="0" applyNumberFormat="1" applyFont="1" applyBorder="1"/>
    <xf numFmtId="165" fontId="10" fillId="0" borderId="14" xfId="0" applyNumberFormat="1" applyFont="1" applyBorder="1"/>
    <xf numFmtId="165" fontId="10" fillId="0" borderId="18" xfId="0" applyNumberFormat="1" applyFont="1" applyBorder="1"/>
    <xf numFmtId="165" fontId="10" fillId="0" borderId="15" xfId="0" applyNumberFormat="1" applyFont="1" applyBorder="1"/>
    <xf numFmtId="166" fontId="10" fillId="0" borderId="18" xfId="0" applyNumberFormat="1" applyFont="1" applyBorder="1"/>
    <xf numFmtId="0" fontId="0" fillId="0" borderId="18" xfId="0" applyBorder="1"/>
    <xf numFmtId="0" fontId="0" fillId="0" borderId="19" xfId="0" applyBorder="1"/>
    <xf numFmtId="0" fontId="13" fillId="0" borderId="15" xfId="0" applyFont="1" applyBorder="1"/>
    <xf numFmtId="0" fontId="13" fillId="0" borderId="14" xfId="0" applyFont="1" applyBorder="1"/>
    <xf numFmtId="0" fontId="13" fillId="0" borderId="18" xfId="0" applyFont="1" applyBorder="1"/>
    <xf numFmtId="165" fontId="10" fillId="0" borderId="20" xfId="0" applyNumberFormat="1" applyFont="1" applyBorder="1"/>
    <xf numFmtId="165" fontId="10" fillId="0" borderId="21" xfId="0" applyNumberFormat="1" applyFont="1" applyBorder="1"/>
    <xf numFmtId="0" fontId="0" fillId="0" borderId="0" xfId="0" applyAlignment="1">
      <alignment horizontal="left"/>
    </xf>
    <xf numFmtId="0" fontId="16" fillId="2" borderId="12" xfId="0" applyFont="1" applyFill="1" applyBorder="1" applyAlignment="1">
      <alignment horizontal="right"/>
    </xf>
    <xf numFmtId="166" fontId="1" fillId="2" borderId="9" xfId="0" applyNumberFormat="1" applyFont="1" applyFill="1" applyBorder="1"/>
    <xf numFmtId="0" fontId="16" fillId="2" borderId="13" xfId="0" applyFont="1" applyFill="1" applyBorder="1" applyAlignment="1">
      <alignment horizontal="right"/>
    </xf>
    <xf numFmtId="166" fontId="1" fillId="2" borderId="10" xfId="0" applyNumberFormat="1" applyFont="1" applyFill="1" applyBorder="1"/>
    <xf numFmtId="0" fontId="16" fillId="2" borderId="1" xfId="0" applyFont="1" applyFill="1" applyBorder="1" applyAlignment="1">
      <alignment horizontal="right"/>
    </xf>
    <xf numFmtId="166" fontId="1" fillId="2" borderId="11" xfId="0" applyNumberFormat="1" applyFont="1" applyFill="1" applyBorder="1"/>
    <xf numFmtId="0" fontId="16" fillId="2" borderId="0" xfId="0" applyFont="1" applyFill="1" applyAlignment="1">
      <alignment horizontal="right"/>
    </xf>
    <xf numFmtId="166" fontId="1" fillId="2" borderId="0" xfId="0" applyNumberFormat="1" applyFont="1" applyFill="1"/>
    <xf numFmtId="0" fontId="19" fillId="2" borderId="14" xfId="0" applyFont="1" applyFill="1" applyBorder="1" applyAlignment="1">
      <alignment horizontal="right"/>
    </xf>
    <xf numFmtId="0" fontId="22" fillId="0" borderId="14" xfId="0" applyFont="1" applyFill="1" applyBorder="1" applyAlignment="1">
      <alignment horizontal="right"/>
    </xf>
    <xf numFmtId="166" fontId="24" fillId="0" borderId="18" xfId="0" applyNumberFormat="1" applyFont="1" applyFill="1" applyBorder="1"/>
    <xf numFmtId="0" fontId="2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11" fillId="0" borderId="9" xfId="0" applyNumberFormat="1" applyFont="1" applyBorder="1" applyAlignment="1">
      <alignment horizontal="right"/>
    </xf>
    <xf numFmtId="165" fontId="8" fillId="0" borderId="9" xfId="0" applyNumberFormat="1" applyFont="1" applyBorder="1" applyAlignment="1">
      <alignment horizontal="right"/>
    </xf>
    <xf numFmtId="166" fontId="8" fillId="0" borderId="10" xfId="0" applyNumberFormat="1" applyFont="1" applyBorder="1"/>
    <xf numFmtId="166" fontId="11" fillId="0" borderId="10" xfId="0" applyNumberFormat="1" applyFont="1" applyBorder="1"/>
    <xf numFmtId="1" fontId="9" fillId="0" borderId="0" xfId="0" applyNumberFormat="1" applyFont="1" applyBorder="1"/>
    <xf numFmtId="11" fontId="0" fillId="0" borderId="0" xfId="0" applyNumberFormat="1" applyBorder="1" applyAlignment="1">
      <alignment horizontal="right"/>
    </xf>
    <xf numFmtId="0" fontId="10" fillId="0" borderId="0" xfId="0" applyFont="1" applyAlignment="1">
      <alignment horizontal="right"/>
    </xf>
    <xf numFmtId="11" fontId="0" fillId="0" borderId="0" xfId="0" applyNumberFormat="1" applyAlignment="1">
      <alignment horizontal="right"/>
    </xf>
    <xf numFmtId="2" fontId="6" fillId="0" borderId="0" xfId="0" applyNumberFormat="1" applyFont="1" applyBorder="1"/>
    <xf numFmtId="2" fontId="4" fillId="0" borderId="0" xfId="0" applyNumberFormat="1" applyFont="1" applyBorder="1"/>
    <xf numFmtId="0" fontId="5" fillId="0" borderId="0" xfId="0" applyFont="1" applyAlignment="1">
      <alignment horizontal="right"/>
    </xf>
    <xf numFmtId="169" fontId="5" fillId="0" borderId="0" xfId="0" applyNumberFormat="1" applyFont="1"/>
    <xf numFmtId="0" fontId="1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11" fontId="26" fillId="0" borderId="0" xfId="0" applyNumberFormat="1" applyFont="1"/>
    <xf numFmtId="2" fontId="20" fillId="2" borderId="18" xfId="0" applyNumberFormat="1" applyFont="1" applyFill="1" applyBorder="1"/>
    <xf numFmtId="1" fontId="10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D1F2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9241512242803"/>
          <c:y val="0.10810842514905086"/>
          <c:w val="0.83182713592331592"/>
          <c:h val="0.7597619878530518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Reference!$I$3</c:f>
              <c:strCache>
                <c:ptCount val="1"/>
                <c:pt idx="0">
                  <c:v>Planck</c:v>
                </c:pt>
              </c:strCache>
            </c:strRef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Reference!$I$5:$I$99</c:f>
              <c:numCache>
                <c:formatCode>0.00</c:formatCode>
                <c:ptCount val="95"/>
                <c:pt idx="0">
                  <c:v>81.778863272916084</c:v>
                </c:pt>
                <c:pt idx="1">
                  <c:v>83.69262688779321</c:v>
                </c:pt>
                <c:pt idx="2">
                  <c:v>85.519376525568347</c:v>
                </c:pt>
                <c:pt idx="3">
                  <c:v>87.258028077768074</c:v>
                </c:pt>
                <c:pt idx="4">
                  <c:v>88.907890902142128</c:v>
                </c:pt>
                <c:pt idx="5">
                  <c:v>90.468638479498239</c:v>
                </c:pt>
                <c:pt idx="6">
                  <c:v>91.940279469526871</c:v>
                </c:pt>
                <c:pt idx="7">
                  <c:v>93.323129399766827</c:v>
                </c:pt>
                <c:pt idx="8">
                  <c:v>94.617783178193903</c:v>
                </c:pt>
                <c:pt idx="9">
                  <c:v>95.825088580987128</c:v>
                </c:pt>
                <c:pt idx="10">
                  <c:v>96.946120832638613</c:v>
                </c:pt>
                <c:pt idx="11">
                  <c:v>97.982158365416709</c:v>
                </c:pt>
                <c:pt idx="12">
                  <c:v>98.934659818982595</c:v>
                </c:pt>
                <c:pt idx="13">
                  <c:v>99.805242318371654</c:v>
                </c:pt>
                <c:pt idx="14">
                  <c:v>100.59566104926456</c:v>
                </c:pt>
                <c:pt idx="15">
                  <c:v>101.30779013317165</c:v>
                </c:pt>
                <c:pt idx="16">
                  <c:v>101.94360479153259</c:v>
                </c:pt>
                <c:pt idx="17">
                  <c:v>102.50516477649749</c:v>
                </c:pt>
                <c:pt idx="18">
                  <c:v>102.99459903703894</c:v>
                </c:pt>
                <c:pt idx="19">
                  <c:v>103.41409158178216</c:v>
                </c:pt>
                <c:pt idx="20">
                  <c:v>103.76586849430544</c:v>
                </c:pt>
                <c:pt idx="21">
                  <c:v>104.05218605243343</c:v>
                </c:pt>
                <c:pt idx="22">
                  <c:v>104.27531990003808</c:v>
                </c:pt>
                <c:pt idx="23">
                  <c:v>104.43755521788043</c:v>
                </c:pt>
                <c:pt idx="24">
                  <c:v>104.5411778389372</c:v>
                </c:pt>
                <c:pt idx="25">
                  <c:v>104.58846625329826</c:v>
                </c:pt>
                <c:pt idx="26">
                  <c:v>104.58168444798319</c:v>
                </c:pt>
                <c:pt idx="27">
                  <c:v>104.52307552779197</c:v>
                </c:pt>
                <c:pt idx="28">
                  <c:v>104.41485606447895</c:v>
                </c:pt>
                <c:pt idx="29">
                  <c:v>104.25921112304324</c:v>
                </c:pt>
                <c:pt idx="30">
                  <c:v>104.05828991568551</c:v>
                </c:pt>
                <c:pt idx="31">
                  <c:v>103.81420203592627</c:v>
                </c:pt>
                <c:pt idx="32">
                  <c:v>103.52901422746663</c:v>
                </c:pt>
                <c:pt idx="33">
                  <c:v>103.20474764454993</c:v>
                </c:pt>
                <c:pt idx="34">
                  <c:v>102.84337556281388</c:v>
                </c:pt>
                <c:pt idx="35">
                  <c:v>102.44682150187491</c:v>
                </c:pt>
                <c:pt idx="36">
                  <c:v>102.01695772313752</c:v>
                </c:pt>
                <c:pt idx="37">
                  <c:v>101.55560406854005</c:v>
                </c:pt>
                <c:pt idx="38">
                  <c:v>101.06452710812997</c:v>
                </c:pt>
                <c:pt idx="39">
                  <c:v>100.54543956647873</c:v>
                </c:pt>
                <c:pt idx="40">
                  <c:v>100</c:v>
                </c:pt>
                <c:pt idx="41">
                  <c:v>99.429812699206082</c:v>
                </c:pt>
                <c:pt idx="42">
                  <c:v>98.836427791831227</c:v>
                </c:pt>
                <c:pt idx="43">
                  <c:v>98.221341524551832</c:v>
                </c:pt>
                <c:pt idx="44">
                  <c:v>97.585996702747863</c:v>
                </c:pt>
                <c:pt idx="45">
                  <c:v>96.931783269373867</c:v>
                </c:pt>
                <c:pt idx="46">
                  <c:v>96.260039005539156</c:v>
                </c:pt>
                <c:pt idx="47">
                  <c:v>95.572050336841258</c:v>
                </c:pt>
                <c:pt idx="48">
                  <c:v>94.869053230847754</c:v>
                </c:pt>
                <c:pt idx="49">
                  <c:v>94.152234172395112</c:v>
                </c:pt>
                <c:pt idx="50">
                  <c:v>93.422731204553799</c:v>
                </c:pt>
                <c:pt idx="51">
                  <c:v>92.681635024217272</c:v>
                </c:pt>
                <c:pt idx="52">
                  <c:v>91.929990122299813</c:v>
                </c:pt>
                <c:pt idx="53">
                  <c:v>91.168795959482452</c:v>
                </c:pt>
                <c:pt idx="54">
                  <c:v>90.399008169332518</c:v>
                </c:pt>
                <c:pt idx="55">
                  <c:v>89.621539781440617</c:v>
                </c:pt>
                <c:pt idx="56">
                  <c:v>88.837262457973921</c:v>
                </c:pt>
                <c:pt idx="57">
                  <c:v>88.047007737744082</c:v>
                </c:pt>
                <c:pt idx="58">
                  <c:v>87.251568282527288</c:v>
                </c:pt>
                <c:pt idx="59">
                  <c:v>86.451699120964307</c:v>
                </c:pt>
                <c:pt idx="60">
                  <c:v>85.648118885910392</c:v>
                </c:pt>
                <c:pt idx="61">
                  <c:v>84.841511041596419</c:v>
                </c:pt>
                <c:pt idx="62">
                  <c:v>84.032525097419366</c:v>
                </c:pt>
                <c:pt idx="63">
                  <c:v>83.221777805589369</c:v>
                </c:pt>
                <c:pt idx="64">
                  <c:v>82.409854340239917</c:v>
                </c:pt>
                <c:pt idx="65">
                  <c:v>81.597309455948036</c:v>
                </c:pt>
                <c:pt idx="66">
                  <c:v>80.78466862392105</c:v>
                </c:pt>
                <c:pt idx="67">
                  <c:v>79.972429144390276</c:v>
                </c:pt>
                <c:pt idx="68">
                  <c:v>79.161061234003938</c:v>
                </c:pt>
                <c:pt idx="69">
                  <c:v>78.351009087241763</c:v>
                </c:pt>
                <c:pt idx="70">
                  <c:v>77.542691911080539</c:v>
                </c:pt>
                <c:pt idx="71">
                  <c:v>76.736504932324436</c:v>
                </c:pt>
                <c:pt idx="72">
                  <c:v>75.932820377180533</c:v>
                </c:pt>
                <c:pt idx="73">
                  <c:v>75.131988422807723</c:v>
                </c:pt>
                <c:pt idx="74">
                  <c:v>74.334338120699741</c:v>
                </c:pt>
                <c:pt idx="75">
                  <c:v>73.540178291879528</c:v>
                </c:pt>
                <c:pt idx="76">
                  <c:v>72.749798393985671</c:v>
                </c:pt>
                <c:pt idx="77">
                  <c:v>71.963469360423716</c:v>
                </c:pt>
                <c:pt idx="78">
                  <c:v>71.181444411833127</c:v>
                </c:pt>
                <c:pt idx="79">
                  <c:v>70.403959840192272</c:v>
                </c:pt>
                <c:pt idx="80">
                  <c:v>69.631235765942264</c:v>
                </c:pt>
                <c:pt idx="81">
                  <c:v>68.863476868563453</c:v>
                </c:pt>
                <c:pt idx="82">
                  <c:v>68.100873091081723</c:v>
                </c:pt>
                <c:pt idx="83">
                  <c:v>67.343600319019075</c:v>
                </c:pt>
                <c:pt idx="84">
                  <c:v>66.591821034334487</c:v>
                </c:pt>
                <c:pt idx="85">
                  <c:v>65.845684944924628</c:v>
                </c:pt>
                <c:pt idx="86">
                  <c:v>65.10532959027698</c:v>
                </c:pt>
                <c:pt idx="87">
                  <c:v>64.370880923881202</c:v>
                </c:pt>
                <c:pt idx="88">
                  <c:v>63.642453873016365</c:v>
                </c:pt>
                <c:pt idx="89">
                  <c:v>62.920152876542581</c:v>
                </c:pt>
                <c:pt idx="90">
                  <c:v>62.204072401325789</c:v>
                </c:pt>
                <c:pt idx="91">
                  <c:v>61.49429743793079</c:v>
                </c:pt>
                <c:pt idx="92">
                  <c:v>60.790903976214373</c:v>
                </c:pt>
                <c:pt idx="93">
                  <c:v>60.093959461448264</c:v>
                </c:pt>
                <c:pt idx="94">
                  <c:v>59.403523231597966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Reference!$V$3</c:f>
              <c:strCache>
                <c:ptCount val="1"/>
                <c:pt idx="0">
                  <c:v>Daylight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Reference!$V$5:$V$99</c:f>
              <c:numCache>
                <c:formatCode>0.00</c:formatCode>
                <c:ptCount val="95"/>
                <c:pt idx="0">
                  <c:v>37.596188958426836</c:v>
                </c:pt>
                <c:pt idx="1">
                  <c:v>39.81610052468433</c:v>
                </c:pt>
                <c:pt idx="2">
                  <c:v>42.03601209094181</c:v>
                </c:pt>
                <c:pt idx="3">
                  <c:v>41.196244222401631</c:v>
                </c:pt>
                <c:pt idx="4">
                  <c:v>40.356476353861453</c:v>
                </c:pt>
                <c:pt idx="5">
                  <c:v>42.982486545335611</c:v>
                </c:pt>
                <c:pt idx="6">
                  <c:v>45.608496736809769</c:v>
                </c:pt>
                <c:pt idx="7">
                  <c:v>58.327024591225928</c:v>
                </c:pt>
                <c:pt idx="8">
                  <c:v>71.045552445642087</c:v>
                </c:pt>
                <c:pt idx="9">
                  <c:v>75.084966669363098</c:v>
                </c:pt>
                <c:pt idx="10">
                  <c:v>79.124380893084123</c:v>
                </c:pt>
                <c:pt idx="11">
                  <c:v>80.39583978586046</c:v>
                </c:pt>
                <c:pt idx="12">
                  <c:v>81.667298678636783</c:v>
                </c:pt>
                <c:pt idx="13">
                  <c:v>79.144907008633396</c:v>
                </c:pt>
                <c:pt idx="14">
                  <c:v>76.622515338630009</c:v>
                </c:pt>
                <c:pt idx="15">
                  <c:v>85.631525077920116</c:v>
                </c:pt>
                <c:pt idx="16">
                  <c:v>94.640534817210252</c:v>
                </c:pt>
                <c:pt idx="17">
                  <c:v>100.78885931317939</c:v>
                </c:pt>
                <c:pt idx="18">
                  <c:v>106.93718380914852</c:v>
                </c:pt>
                <c:pt idx="19">
                  <c:v>107.78623553932431</c:v>
                </c:pt>
                <c:pt idx="20">
                  <c:v>108.6352872695001</c:v>
                </c:pt>
                <c:pt idx="21">
                  <c:v>107.8014831219691</c:v>
                </c:pt>
                <c:pt idx="22">
                  <c:v>106.96767897443812</c:v>
                </c:pt>
                <c:pt idx="23">
                  <c:v>107.97550391568927</c:v>
                </c:pt>
                <c:pt idx="24">
                  <c:v>108.98332885694043</c:v>
                </c:pt>
                <c:pt idx="25">
                  <c:v>106.0608222272979</c:v>
                </c:pt>
                <c:pt idx="26">
                  <c:v>103.13831559765538</c:v>
                </c:pt>
                <c:pt idx="27">
                  <c:v>103.95576255276414</c:v>
                </c:pt>
                <c:pt idx="28">
                  <c:v>104.77320950787288</c:v>
                </c:pt>
                <c:pt idx="29">
                  <c:v>104.4134880269733</c:v>
                </c:pt>
                <c:pt idx="30">
                  <c:v>104.05376654607372</c:v>
                </c:pt>
                <c:pt idx="31">
                  <c:v>103.16675506059019</c:v>
                </c:pt>
                <c:pt idx="32">
                  <c:v>102.27974357510666</c:v>
                </c:pt>
                <c:pt idx="33">
                  <c:v>104.0800464079222</c:v>
                </c:pt>
                <c:pt idx="34">
                  <c:v>105.88034924073773</c:v>
                </c:pt>
                <c:pt idx="35">
                  <c:v>104.53831785209806</c:v>
                </c:pt>
                <c:pt idx="36">
                  <c:v>103.19628646345841</c:v>
                </c:pt>
                <c:pt idx="37">
                  <c:v>103.34059902175997</c:v>
                </c:pt>
                <c:pt idx="38">
                  <c:v>103.48491158006156</c:v>
                </c:pt>
                <c:pt idx="39">
                  <c:v>101.74245579003077</c:v>
                </c:pt>
                <c:pt idx="40">
                  <c:v>100</c:v>
                </c:pt>
                <c:pt idx="41">
                  <c:v>98.398346597502737</c:v>
                </c:pt>
                <c:pt idx="42">
                  <c:v>96.796693195005489</c:v>
                </c:pt>
                <c:pt idx="43">
                  <c:v>96.8042374049747</c:v>
                </c:pt>
                <c:pt idx="44">
                  <c:v>96.811781614943925</c:v>
                </c:pt>
                <c:pt idx="45">
                  <c:v>93.415176826072823</c:v>
                </c:pt>
                <c:pt idx="46">
                  <c:v>90.018572037201736</c:v>
                </c:pt>
                <c:pt idx="47">
                  <c:v>91.089794401763314</c:v>
                </c:pt>
                <c:pt idx="48">
                  <c:v>92.16101676632492</c:v>
                </c:pt>
                <c:pt idx="49">
                  <c:v>92.229858494182622</c:v>
                </c:pt>
                <c:pt idx="50">
                  <c:v>92.298700222040281</c:v>
                </c:pt>
                <c:pt idx="51">
                  <c:v>91.591905347811291</c:v>
                </c:pt>
                <c:pt idx="52">
                  <c:v>90.885110473582316</c:v>
                </c:pt>
                <c:pt idx="53">
                  <c:v>88.837915511677323</c:v>
                </c:pt>
                <c:pt idx="54">
                  <c:v>86.790720549772345</c:v>
                </c:pt>
                <c:pt idx="55">
                  <c:v>87.336047682498943</c:v>
                </c:pt>
                <c:pt idx="56">
                  <c:v>87.881374815225513</c:v>
                </c:pt>
                <c:pt idx="57">
                  <c:v>86.076657744884912</c:v>
                </c:pt>
                <c:pt idx="58">
                  <c:v>84.271940674544297</c:v>
                </c:pt>
                <c:pt idx="59">
                  <c:v>84.663636067927243</c:v>
                </c:pt>
                <c:pt idx="60">
                  <c:v>85.055331461310161</c:v>
                </c:pt>
                <c:pt idx="61">
                  <c:v>86.467780614796368</c:v>
                </c:pt>
                <c:pt idx="62">
                  <c:v>87.880229768282589</c:v>
                </c:pt>
                <c:pt idx="63">
                  <c:v>85.869098022036908</c:v>
                </c:pt>
                <c:pt idx="64">
                  <c:v>83.857966275791227</c:v>
                </c:pt>
                <c:pt idx="65">
                  <c:v>79.181012266464009</c:v>
                </c:pt>
                <c:pt idx="66">
                  <c:v>74.504058257136819</c:v>
                </c:pt>
                <c:pt idx="67">
                  <c:v>75.745753650519745</c:v>
                </c:pt>
                <c:pt idx="68">
                  <c:v>76.987449043902686</c:v>
                </c:pt>
                <c:pt idx="69">
                  <c:v>78.198134287223652</c:v>
                </c:pt>
                <c:pt idx="70">
                  <c:v>79.408819530544633</c:v>
                </c:pt>
                <c:pt idx="71">
                  <c:v>72.586748363200797</c:v>
                </c:pt>
                <c:pt idx="72">
                  <c:v>65.76467719585699</c:v>
                </c:pt>
                <c:pt idx="73">
                  <c:v>70.095901772600101</c:v>
                </c:pt>
                <c:pt idx="74">
                  <c:v>74.427126349343212</c:v>
                </c:pt>
                <c:pt idx="75">
                  <c:v>77.145945975667289</c:v>
                </c:pt>
                <c:pt idx="76">
                  <c:v>79.86476560199138</c:v>
                </c:pt>
                <c:pt idx="77">
                  <c:v>73.727104247809592</c:v>
                </c:pt>
                <c:pt idx="78">
                  <c:v>67.589442893627847</c:v>
                </c:pt>
                <c:pt idx="79">
                  <c:v>58.539376589027057</c:v>
                </c:pt>
                <c:pt idx="80">
                  <c:v>49.489310284426267</c:v>
                </c:pt>
                <c:pt idx="81">
                  <c:v>60.345813366465705</c:v>
                </c:pt>
                <c:pt idx="82">
                  <c:v>71.202316448505158</c:v>
                </c:pt>
                <c:pt idx="83">
                  <c:v>69.327082146276013</c:v>
                </c:pt>
                <c:pt idx="84">
                  <c:v>67.451847844046853</c:v>
                </c:pt>
                <c:pt idx="85">
                  <c:v>67.95826251995193</c:v>
                </c:pt>
                <c:pt idx="86">
                  <c:v>68.464677195856993</c:v>
                </c:pt>
                <c:pt idx="87">
                  <c:v>65.861447756370865</c:v>
                </c:pt>
                <c:pt idx="88">
                  <c:v>63.258218316884729</c:v>
                </c:pt>
                <c:pt idx="89">
                  <c:v>59.239376589027053</c:v>
                </c:pt>
                <c:pt idx="90">
                  <c:v>55.220534861169362</c:v>
                </c:pt>
                <c:pt idx="91">
                  <c:v>58.151759437912482</c:v>
                </c:pt>
                <c:pt idx="92">
                  <c:v>61.082984014655587</c:v>
                </c:pt>
                <c:pt idx="93">
                  <c:v>62.623808503722685</c:v>
                </c:pt>
                <c:pt idx="94">
                  <c:v>64.164632992789791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66304"/>
        <c:axId val="454166696"/>
      </c:scatterChart>
      <c:valAx>
        <c:axId val="454166304"/>
        <c:scaling>
          <c:orientation val="minMax"/>
          <c:max val="750"/>
          <c:min val="35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4166696"/>
        <c:crosses val="autoZero"/>
        <c:crossBetween val="midCat"/>
        <c:majorUnit val="50"/>
      </c:valAx>
      <c:valAx>
        <c:axId val="4541666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41663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4852320675105459"/>
          <c:y val="0.16516548044107107"/>
          <c:w val="0.33996413381213803"/>
          <c:h val="0.159159625913880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en-GB"/>
              <a:t>CIE 1931  x,y Chromaticity Diagram</a:t>
            </a:r>
          </a:p>
        </c:rich>
      </c:tx>
      <c:layout>
        <c:manualLayout>
          <c:xMode val="edge"/>
          <c:yMode val="edge"/>
          <c:x val="0.36161335187760807"/>
          <c:y val="4.51340226207291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303198887354"/>
          <c:y val="9.4499359862151688E-2"/>
          <c:w val="0.75660639777468752"/>
          <c:h val="0.816643721793818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'[1]Color Matching Function'!$E$1</c:f>
              <c:strCache>
                <c:ptCount val="1"/>
                <c:pt idx="0">
                  <c:v>Spectrum Locus</c:v>
                </c:pt>
              </c:strCache>
            </c:strRef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dot"/>
            <c:size val="6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470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475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480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485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490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495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505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515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layout>
                <c:manualLayout>
                  <c:x val="-3.5127528391356842E-3"/>
                  <c:y val="-9.4356967790845264E-3"/>
                </c:manualLayout>
              </c:layout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520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layout>
                <c:manualLayout>
                  <c:x val="4.6880509894538765E-3"/>
                  <c:y val="-5.0448979417559393E-3"/>
                </c:manualLayout>
              </c:layout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525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530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535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540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545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550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555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560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565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570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575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580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585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590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595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600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610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620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layout>
                <c:manualLayout>
                  <c:x val="3.4193013773138516E-3"/>
                  <c:y val="-3.0404794065701235E-3"/>
                </c:manualLayout>
              </c:layout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640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0"/>
              <c:layout>
                <c:manualLayout>
                  <c:x val="-8.1974454166809988E-4"/>
                  <c:y val="-5.93337722906507E-4"/>
                </c:manualLayout>
              </c:layout>
              <c:tx>
                <c:rich>
                  <a:bodyPr/>
                  <a:lstStyle/>
                  <a:p>
                    <a:pPr>
                      <a:defRPr sz="900" b="0" i="0" u="none" strike="noStrike" baseline="0">
                        <a:solidFill>
                          <a:srgbClr val="000000"/>
                        </a:solidFill>
                        <a:latin typeface="Geneva"/>
                        <a:ea typeface="Geneva"/>
                        <a:cs typeface="Geneva"/>
                      </a:defRPr>
                    </a:pPr>
                    <a:r>
                      <a:rPr lang="en-GB"/>
                      <a:t>700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'[1]Color Matching Function'!$E$3:$E$84</c:f>
              <c:numCache>
                <c:formatCode>General</c:formatCode>
                <c:ptCount val="82"/>
                <c:pt idx="0">
                  <c:v>0.17411225658648341</c:v>
                </c:pt>
                <c:pt idx="1">
                  <c:v>0.17400791751588912</c:v>
                </c:pt>
                <c:pt idx="2">
                  <c:v>0.17380077262082802</c:v>
                </c:pt>
                <c:pt idx="3">
                  <c:v>0.17355990652721373</c:v>
                </c:pt>
                <c:pt idx="4">
                  <c:v>0.17333686548078087</c:v>
                </c:pt>
                <c:pt idx="5">
                  <c:v>0.17302096545549503</c:v>
                </c:pt>
                <c:pt idx="6">
                  <c:v>0.17257655084880216</c:v>
                </c:pt>
                <c:pt idx="7">
                  <c:v>0.17208663075524816</c:v>
                </c:pt>
                <c:pt idx="8">
                  <c:v>0.17140743386310878</c:v>
                </c:pt>
                <c:pt idx="9">
                  <c:v>0.17030098877973635</c:v>
                </c:pt>
                <c:pt idx="10">
                  <c:v>0.16887752067098924</c:v>
                </c:pt>
                <c:pt idx="11">
                  <c:v>0.16689529035208048</c:v>
                </c:pt>
                <c:pt idx="12">
                  <c:v>0.16441175637527497</c:v>
                </c:pt>
                <c:pt idx="13">
                  <c:v>0.16110457958027455</c:v>
                </c:pt>
                <c:pt idx="14">
                  <c:v>0.15664093257730707</c:v>
                </c:pt>
                <c:pt idx="15">
                  <c:v>0.15098540837597121</c:v>
                </c:pt>
                <c:pt idx="16">
                  <c:v>0.14396039603960395</c:v>
                </c:pt>
                <c:pt idx="17">
                  <c:v>0.13550267119961146</c:v>
                </c:pt>
                <c:pt idx="18">
                  <c:v>0.12411847672778563</c:v>
                </c:pt>
                <c:pt idx="19">
                  <c:v>0.10959432361561004</c:v>
                </c:pt>
                <c:pt idx="20">
                  <c:v>9.1293507002271179E-2</c:v>
                </c:pt>
                <c:pt idx="21">
                  <c:v>6.870592129105553E-2</c:v>
                </c:pt>
                <c:pt idx="22">
                  <c:v>4.5390734674777722E-2</c:v>
                </c:pt>
                <c:pt idx="23">
                  <c:v>2.3459942547079473E-2</c:v>
                </c:pt>
                <c:pt idx="24">
                  <c:v>8.1680280046674426E-3</c:v>
                </c:pt>
                <c:pt idx="25">
                  <c:v>3.8585209003215433E-3</c:v>
                </c:pt>
                <c:pt idx="26">
                  <c:v>1.3870246085011185E-2</c:v>
                </c:pt>
                <c:pt idx="27">
                  <c:v>3.8851802403204273E-2</c:v>
                </c:pt>
                <c:pt idx="28">
                  <c:v>7.4302424773374967E-2</c:v>
                </c:pt>
                <c:pt idx="29">
                  <c:v>0.11416071960667966</c:v>
                </c:pt>
                <c:pt idx="30">
                  <c:v>0.15472206121571341</c:v>
                </c:pt>
                <c:pt idx="31">
                  <c:v>0.19287609787772117</c:v>
                </c:pt>
                <c:pt idx="32">
                  <c:v>0.22961967264964023</c:v>
                </c:pt>
                <c:pt idx="33">
                  <c:v>0.26577508497118374</c:v>
                </c:pt>
                <c:pt idx="34">
                  <c:v>0.30160379918588875</c:v>
                </c:pt>
                <c:pt idx="35">
                  <c:v>0.33736333262858526</c:v>
                </c:pt>
                <c:pt idx="36">
                  <c:v>0.3731015438684574</c:v>
                </c:pt>
                <c:pt idx="37">
                  <c:v>0.40873625546015963</c:v>
                </c:pt>
                <c:pt idx="38">
                  <c:v>0.44406246358233309</c:v>
                </c:pt>
                <c:pt idx="39">
                  <c:v>0.4787747911575837</c:v>
                </c:pt>
                <c:pt idx="40">
                  <c:v>0.51248636706843032</c:v>
                </c:pt>
                <c:pt idx="41">
                  <c:v>0.54478650559483377</c:v>
                </c:pt>
                <c:pt idx="42">
                  <c:v>0.57515131136516473</c:v>
                </c:pt>
                <c:pt idx="43">
                  <c:v>0.60293278557571617</c:v>
                </c:pt>
                <c:pt idx="44">
                  <c:v>0.62703659976387249</c:v>
                </c:pt>
                <c:pt idx="45">
                  <c:v>0.64823310601363926</c:v>
                </c:pt>
                <c:pt idx="46">
                  <c:v>0.66576357623809712</c:v>
                </c:pt>
                <c:pt idx="47">
                  <c:v>0.68007884972170685</c:v>
                </c:pt>
                <c:pt idx="48">
                  <c:v>0.69150397296170196</c:v>
                </c:pt>
                <c:pt idx="49">
                  <c:v>0.70060606060606057</c:v>
                </c:pt>
                <c:pt idx="50">
                  <c:v>0.70791779161386303</c:v>
                </c:pt>
                <c:pt idx="51">
                  <c:v>0.71403159711699371</c:v>
                </c:pt>
                <c:pt idx="52">
                  <c:v>0.71903294162974374</c:v>
                </c:pt>
                <c:pt idx="53">
                  <c:v>0.72303160257309473</c:v>
                </c:pt>
                <c:pt idx="54">
                  <c:v>0.72599231754161331</c:v>
                </c:pt>
                <c:pt idx="55">
                  <c:v>0.72827172827172826</c:v>
                </c:pt>
                <c:pt idx="56">
                  <c:v>0.72996901283753868</c:v>
                </c:pt>
                <c:pt idx="57">
                  <c:v>0.73108939558450958</c:v>
                </c:pt>
                <c:pt idx="58">
                  <c:v>0.73199329983249584</c:v>
                </c:pt>
                <c:pt idx="59">
                  <c:v>0.73271889400921664</c:v>
                </c:pt>
                <c:pt idx="60">
                  <c:v>0.73341696722596839</c:v>
                </c:pt>
                <c:pt idx="61">
                  <c:v>0.73404730031236054</c:v>
                </c:pt>
                <c:pt idx="62">
                  <c:v>0.7343901649951472</c:v>
                </c:pt>
                <c:pt idx="63">
                  <c:v>0.73459166164262857</c:v>
                </c:pt>
                <c:pt idx="64">
                  <c:v>0.73469002325828081</c:v>
                </c:pt>
                <c:pt idx="65">
                  <c:v>0.73469010645004673</c:v>
                </c:pt>
                <c:pt idx="66">
                  <c:v>0.73469012288503877</c:v>
                </c:pt>
                <c:pt idx="67">
                  <c:v>0.73469015600361853</c:v>
                </c:pt>
                <c:pt idx="68">
                  <c:v>0.73469020583681555</c:v>
                </c:pt>
                <c:pt idx="69">
                  <c:v>0.7346899996056202</c:v>
                </c:pt>
                <c:pt idx="70">
                  <c:v>0.73468981668086752</c:v>
                </c:pt>
                <c:pt idx="71">
                  <c:v>0.73469012894456487</c:v>
                </c:pt>
                <c:pt idx="72">
                  <c:v>0.73469040115833406</c:v>
                </c:pt>
                <c:pt idx="73">
                  <c:v>0.73468946783553535</c:v>
                </c:pt>
                <c:pt idx="74">
                  <c:v>0.73468936546539909</c:v>
                </c:pt>
                <c:pt idx="75">
                  <c:v>0.73469323905766037</c:v>
                </c:pt>
                <c:pt idx="76">
                  <c:v>0.73468936546539909</c:v>
                </c:pt>
                <c:pt idx="77">
                  <c:v>0.73468493836430759</c:v>
                </c:pt>
                <c:pt idx="78">
                  <c:v>0.73468936546539909</c:v>
                </c:pt>
                <c:pt idx="79">
                  <c:v>0.73469157896054171</c:v>
                </c:pt>
                <c:pt idx="80">
                  <c:v>0.73469026548672567</c:v>
                </c:pt>
                <c:pt idx="81">
                  <c:v>0.17411225658648341</c:v>
                </c:pt>
              </c:numCache>
            </c:numRef>
          </c:xVal>
          <c:yVal>
            <c:numRef>
              <c:f>'[1]Color Matching Function'!$F$3:$F$84</c:f>
              <c:numCache>
                <c:formatCode>General</c:formatCode>
                <c:ptCount val="82"/>
                <c:pt idx="0">
                  <c:v>4.9637266132111493E-3</c:v>
                </c:pt>
                <c:pt idx="1">
                  <c:v>4.9805486229950371E-3</c:v>
                </c:pt>
                <c:pt idx="2">
                  <c:v>4.9154119053734062E-3</c:v>
                </c:pt>
                <c:pt idx="3">
                  <c:v>4.9232025773078931E-3</c:v>
                </c:pt>
                <c:pt idx="4">
                  <c:v>4.7967434472668919E-3</c:v>
                </c:pt>
                <c:pt idx="5">
                  <c:v>4.775050361859285E-3</c:v>
                </c:pt>
                <c:pt idx="6">
                  <c:v>4.7993019197207672E-3</c:v>
                </c:pt>
                <c:pt idx="7">
                  <c:v>4.8325242180399458E-3</c:v>
                </c:pt>
                <c:pt idx="8">
                  <c:v>5.1021709737493308E-3</c:v>
                </c:pt>
                <c:pt idx="9">
                  <c:v>5.7885049964709941E-3</c:v>
                </c:pt>
                <c:pt idx="10">
                  <c:v>6.900243887930522E-3</c:v>
                </c:pt>
                <c:pt idx="11">
                  <c:v>8.5556063608189809E-3</c:v>
                </c:pt>
                <c:pt idx="12">
                  <c:v>1.0857558276763881E-2</c:v>
                </c:pt>
                <c:pt idx="13">
                  <c:v>1.3793358821732408E-2</c:v>
                </c:pt>
                <c:pt idx="14">
                  <c:v>1.7704804990891342E-2</c:v>
                </c:pt>
                <c:pt idx="15">
                  <c:v>2.2740193291642983E-2</c:v>
                </c:pt>
                <c:pt idx="16">
                  <c:v>2.9702970297029702E-2</c:v>
                </c:pt>
                <c:pt idx="17">
                  <c:v>3.9879121472127785E-2</c:v>
                </c:pt>
                <c:pt idx="18">
                  <c:v>5.7802513373740462E-2</c:v>
                </c:pt>
                <c:pt idx="19">
                  <c:v>8.6842511183094231E-2</c:v>
                </c:pt>
                <c:pt idx="20">
                  <c:v>0.13270204248699016</c:v>
                </c:pt>
                <c:pt idx="21">
                  <c:v>0.20072321772810223</c:v>
                </c:pt>
                <c:pt idx="22">
                  <c:v>0.2949759646062875</c:v>
                </c:pt>
                <c:pt idx="23">
                  <c:v>0.41270347909352056</c:v>
                </c:pt>
                <c:pt idx="24">
                  <c:v>0.53842307051175187</c:v>
                </c:pt>
                <c:pt idx="25">
                  <c:v>0.6548231511254019</c:v>
                </c:pt>
                <c:pt idx="26">
                  <c:v>0.750186428038777</c:v>
                </c:pt>
                <c:pt idx="27">
                  <c:v>0.81201602136181572</c:v>
                </c:pt>
                <c:pt idx="28">
                  <c:v>0.8338030913402279</c:v>
                </c:pt>
                <c:pt idx="29">
                  <c:v>0.82620695978118885</c:v>
                </c:pt>
                <c:pt idx="30">
                  <c:v>0.8058635454256492</c:v>
                </c:pt>
                <c:pt idx="31">
                  <c:v>0.78162921636307703</c:v>
                </c:pt>
                <c:pt idx="32">
                  <c:v>0.75432908990274372</c:v>
                </c:pt>
                <c:pt idx="33">
                  <c:v>0.72432392492980646</c:v>
                </c:pt>
                <c:pt idx="34">
                  <c:v>0.69230776188985144</c:v>
                </c:pt>
                <c:pt idx="35">
                  <c:v>0.65884828970560749</c:v>
                </c:pt>
                <c:pt idx="36">
                  <c:v>0.62445085979666115</c:v>
                </c:pt>
                <c:pt idx="37">
                  <c:v>0.58960686850429278</c:v>
                </c:pt>
                <c:pt idx="38">
                  <c:v>0.5547139028085305</c:v>
                </c:pt>
                <c:pt idx="39">
                  <c:v>0.52020230721145644</c:v>
                </c:pt>
                <c:pt idx="40">
                  <c:v>0.48659078833300712</c:v>
                </c:pt>
                <c:pt idx="41">
                  <c:v>0.45443411456883592</c:v>
                </c:pt>
                <c:pt idx="42">
                  <c:v>0.42423223492490469</c:v>
                </c:pt>
                <c:pt idx="43">
                  <c:v>0.39649663357297732</c:v>
                </c:pt>
                <c:pt idx="44">
                  <c:v>0.37249114521841797</c:v>
                </c:pt>
                <c:pt idx="45">
                  <c:v>0.35139491630502168</c:v>
                </c:pt>
                <c:pt idx="46">
                  <c:v>0.33401065115476053</c:v>
                </c:pt>
                <c:pt idx="47">
                  <c:v>0.31974721706864562</c:v>
                </c:pt>
                <c:pt idx="48">
                  <c:v>0.30834226055665576</c:v>
                </c:pt>
                <c:pt idx="49">
                  <c:v>0.2993006993006993</c:v>
                </c:pt>
                <c:pt idx="50">
                  <c:v>0.29202710893162159</c:v>
                </c:pt>
                <c:pt idx="51">
                  <c:v>0.28592887354564978</c:v>
                </c:pt>
                <c:pt idx="52">
                  <c:v>0.28093495151865405</c:v>
                </c:pt>
                <c:pt idx="53">
                  <c:v>0.2769483577483417</c:v>
                </c:pt>
                <c:pt idx="54">
                  <c:v>0.27400768245838669</c:v>
                </c:pt>
                <c:pt idx="55">
                  <c:v>0.27172827172827174</c:v>
                </c:pt>
                <c:pt idx="56">
                  <c:v>0.27003098716246127</c:v>
                </c:pt>
                <c:pt idx="57">
                  <c:v>0.26891060441549042</c:v>
                </c:pt>
                <c:pt idx="58">
                  <c:v>0.26800670016750416</c:v>
                </c:pt>
                <c:pt idx="59">
                  <c:v>0.26728110599078336</c:v>
                </c:pt>
                <c:pt idx="60">
                  <c:v>0.26658303277403173</c:v>
                </c:pt>
                <c:pt idx="61">
                  <c:v>0.26595269968763946</c:v>
                </c:pt>
                <c:pt idx="62">
                  <c:v>0.2656098350048528</c:v>
                </c:pt>
                <c:pt idx="63">
                  <c:v>0.26540833835737143</c:v>
                </c:pt>
                <c:pt idx="64">
                  <c:v>0.26530997674171924</c:v>
                </c:pt>
                <c:pt idx="65">
                  <c:v>0.26530989354995321</c:v>
                </c:pt>
                <c:pt idx="66">
                  <c:v>0.26530987711496129</c:v>
                </c:pt>
                <c:pt idx="67">
                  <c:v>0.26530984399638152</c:v>
                </c:pt>
                <c:pt idx="68">
                  <c:v>0.26530979416318456</c:v>
                </c:pt>
                <c:pt idx="69">
                  <c:v>0.26531000039437969</c:v>
                </c:pt>
                <c:pt idx="70">
                  <c:v>0.26531018331913242</c:v>
                </c:pt>
                <c:pt idx="71">
                  <c:v>0.26530987105543513</c:v>
                </c:pt>
                <c:pt idx="72">
                  <c:v>0.26530959884166594</c:v>
                </c:pt>
                <c:pt idx="73">
                  <c:v>0.26531053216446476</c:v>
                </c:pt>
                <c:pt idx="74">
                  <c:v>0.26531063453460096</c:v>
                </c:pt>
                <c:pt idx="75">
                  <c:v>0.26530676094233957</c:v>
                </c:pt>
                <c:pt idx="76">
                  <c:v>0.26531063453460096</c:v>
                </c:pt>
                <c:pt idx="77">
                  <c:v>0.26531506163569241</c:v>
                </c:pt>
                <c:pt idx="78">
                  <c:v>0.26531063453460096</c:v>
                </c:pt>
                <c:pt idx="79">
                  <c:v>0.2653084210394584</c:v>
                </c:pt>
                <c:pt idx="80">
                  <c:v>0.26530973451327433</c:v>
                </c:pt>
                <c:pt idx="81">
                  <c:v>4.9637266132111493E-3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'[1]Color Matching Function'!$L$1</c:f>
              <c:strCache>
                <c:ptCount val="1"/>
                <c:pt idx="0">
                  <c:v>Planckian Locus</c:v>
                </c:pt>
              </c:strCache>
            </c:strRef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DD0806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dLbls>
            <c:delete val="1"/>
          </c:dLbls>
          <c:xVal>
            <c:numRef>
              <c:f>'[1]Color Matching Function'!$L$3:$L$20</c:f>
              <c:numCache>
                <c:formatCode>General</c:formatCode>
                <c:ptCount val="18"/>
                <c:pt idx="0">
                  <c:v>0.65275620751968466</c:v>
                </c:pt>
                <c:pt idx="1">
                  <c:v>0.62505117588387038</c:v>
                </c:pt>
                <c:pt idx="2">
                  <c:v>0.59852820378620997</c:v>
                </c:pt>
                <c:pt idx="3">
                  <c:v>0.57323728894066084</c:v>
                </c:pt>
                <c:pt idx="4">
                  <c:v>0.54925330458821342</c:v>
                </c:pt>
                <c:pt idx="5">
                  <c:v>0.52668599921927717</c:v>
                </c:pt>
                <c:pt idx="6">
                  <c:v>0.47700327186277741</c:v>
                </c:pt>
                <c:pt idx="7">
                  <c:v>0.43693937217092993</c:v>
                </c:pt>
                <c:pt idx="8">
                  <c:v>0.38044640509795552</c:v>
                </c:pt>
                <c:pt idx="9">
                  <c:v>0.34510665164908777</c:v>
                </c:pt>
                <c:pt idx="10">
                  <c:v>0.32208761374173706</c:v>
                </c:pt>
                <c:pt idx="11">
                  <c:v>0.3063772106193321</c:v>
                </c:pt>
                <c:pt idx="12">
                  <c:v>0.29518999987477812</c:v>
                </c:pt>
                <c:pt idx="13">
                  <c:v>0.28692814349171381</c:v>
                </c:pt>
                <c:pt idx="14">
                  <c:v>0.28063572811568205</c:v>
                </c:pt>
                <c:pt idx="15">
                  <c:v>0.26370728919062719</c:v>
                </c:pt>
                <c:pt idx="16">
                  <c:v>0.25645804544502249</c:v>
                </c:pt>
              </c:numCache>
            </c:numRef>
          </c:xVal>
          <c:yVal>
            <c:numRef>
              <c:f>'[1]Color Matching Function'!$M$3:$M$20</c:f>
              <c:numCache>
                <c:formatCode>General</c:formatCode>
                <c:ptCount val="18"/>
                <c:pt idx="0">
                  <c:v>0.34445676934457992</c:v>
                </c:pt>
                <c:pt idx="1">
                  <c:v>0.36744930632065637</c:v>
                </c:pt>
                <c:pt idx="2">
                  <c:v>0.38578384100654856</c:v>
                </c:pt>
                <c:pt idx="3">
                  <c:v>0.39926071607287</c:v>
                </c:pt>
                <c:pt idx="4">
                  <c:v>0.4082224378070573</c:v>
                </c:pt>
                <c:pt idx="5">
                  <c:v>0.41329568598860222</c:v>
                </c:pt>
                <c:pt idx="6">
                  <c:v>0.413676524053599</c:v>
                </c:pt>
                <c:pt idx="7">
                  <c:v>0.40407682684073942</c:v>
                </c:pt>
                <c:pt idx="8">
                  <c:v>0.37675110505064963</c:v>
                </c:pt>
                <c:pt idx="9">
                  <c:v>0.35161243099367856</c:v>
                </c:pt>
                <c:pt idx="10">
                  <c:v>0.33175744569034721</c:v>
                </c:pt>
                <c:pt idx="11">
                  <c:v>0.31651619769599448</c:v>
                </c:pt>
                <c:pt idx="12">
                  <c:v>0.30476843002416443</c:v>
                </c:pt>
                <c:pt idx="13">
                  <c:v>0.29558628295687006</c:v>
                </c:pt>
                <c:pt idx="14">
                  <c:v>0.28829038659689077</c:v>
                </c:pt>
                <c:pt idx="15">
                  <c:v>0.2672808773507831</c:v>
                </c:pt>
                <c:pt idx="16">
                  <c:v>0.25763196188139975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'[1]Color Matching Function'!$M$22</c:f>
              <c:strCache>
                <c:ptCount val="1"/>
                <c:pt idx="0">
                  <c:v>Illuminant 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'[1]Color Matching Function'!$L$23</c:f>
              <c:numCache>
                <c:formatCode>General</c:formatCode>
                <c:ptCount val="1"/>
                <c:pt idx="0">
                  <c:v>0.44754362965661959</c:v>
                </c:pt>
              </c:numCache>
            </c:numRef>
          </c:xVal>
          <c:yVal>
            <c:numRef>
              <c:f>'[1]Color Matching Function'!$M$23</c:f>
              <c:numCache>
                <c:formatCode>General</c:formatCode>
                <c:ptCount val="1"/>
                <c:pt idx="0">
                  <c:v>0.40743074349845942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'[1]Color Matching Function'!$M$25</c:f>
              <c:strCache>
                <c:ptCount val="1"/>
                <c:pt idx="0">
                  <c:v>D65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'[1]Color Matching Function'!$L$26</c:f>
              <c:numCache>
                <c:formatCode>General</c:formatCode>
                <c:ptCount val="1"/>
                <c:pt idx="0">
                  <c:v>0.3127205252653959</c:v>
                </c:pt>
              </c:numCache>
            </c:numRef>
          </c:xVal>
          <c:yVal>
            <c:numRef>
              <c:f>'[1]Color Matching Function'!$M$26</c:f>
              <c:numCache>
                <c:formatCode>General</c:formatCode>
                <c:ptCount val="1"/>
                <c:pt idx="0">
                  <c:v>0.32903068494840537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'[1]sRGB  space'!$A$1</c:f>
              <c:strCache>
                <c:ptCount val="1"/>
                <c:pt idx="0">
                  <c:v>sRGB</c:v>
                </c:pt>
              </c:strCache>
            </c:strRef>
          </c:tx>
          <c:spPr>
            <a:ln w="12700">
              <a:solidFill>
                <a:srgbClr val="C0C0C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'[1]sRGB  space'!$H$2:$H$5</c:f>
              <c:numCache>
                <c:formatCode>General</c:formatCode>
                <c:ptCount val="4"/>
                <c:pt idx="0">
                  <c:v>0.64007449945677475</c:v>
                </c:pt>
                <c:pt idx="1">
                  <c:v>0.3</c:v>
                </c:pt>
                <c:pt idx="2">
                  <c:v>0.15001662234042551</c:v>
                </c:pt>
                <c:pt idx="3">
                  <c:v>0.64007449945677475</c:v>
                </c:pt>
              </c:numCache>
            </c:numRef>
          </c:xVal>
          <c:yVal>
            <c:numRef>
              <c:f>'[1]sRGB  space'!$I$2:$I$5</c:f>
              <c:numCache>
                <c:formatCode>General</c:formatCode>
                <c:ptCount val="4"/>
                <c:pt idx="0">
                  <c:v>0.32997051063169336</c:v>
                </c:pt>
                <c:pt idx="1">
                  <c:v>0.6</c:v>
                </c:pt>
                <c:pt idx="2">
                  <c:v>6.0006648936170214E-2</c:v>
                </c:pt>
                <c:pt idx="3">
                  <c:v>0.32997051063169336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Chromaticity!$G$20</c:f>
              <c:strCache>
                <c:ptCount val="1"/>
                <c:pt idx="0">
                  <c:v>14 samples(Reference)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delete val="1"/>
          </c:dLbls>
          <c:xVal>
            <c:numRef>
              <c:f>Chromaticity!$G$22:$G$35</c:f>
              <c:numCache>
                <c:formatCode>0.0000</c:formatCode>
                <c:ptCount val="14"/>
                <c:pt idx="0">
                  <c:v>0.38907214592824818</c:v>
                </c:pt>
                <c:pt idx="1">
                  <c:v>0.39476151987112135</c:v>
                </c:pt>
                <c:pt idx="2">
                  <c:v>0.37937682316647192</c:v>
                </c:pt>
                <c:pt idx="3">
                  <c:v>0.29461663089071016</c:v>
                </c:pt>
                <c:pt idx="4">
                  <c:v>0.26758714696589719</c:v>
                </c:pt>
                <c:pt idx="5">
                  <c:v>0.25149405055035406</c:v>
                </c:pt>
                <c:pt idx="6">
                  <c:v>0.29823483531654715</c:v>
                </c:pt>
                <c:pt idx="7">
                  <c:v>0.34128141369262843</c:v>
                </c:pt>
                <c:pt idx="8">
                  <c:v>0.57871313141546543</c:v>
                </c:pt>
                <c:pt idx="9">
                  <c:v>0.44279614527150052</c:v>
                </c:pt>
                <c:pt idx="10">
                  <c:v>0.26029315964429489</c:v>
                </c:pt>
                <c:pt idx="11">
                  <c:v>0.15683016286532853</c:v>
                </c:pt>
                <c:pt idx="12">
                  <c:v>0.38471791495794866</c:v>
                </c:pt>
                <c:pt idx="13">
                  <c:v>0.36094326869388588</c:v>
                </c:pt>
              </c:numCache>
            </c:numRef>
          </c:xVal>
          <c:yVal>
            <c:numRef>
              <c:f>Chromaticity!$H$22:$H$35</c:f>
              <c:numCache>
                <c:formatCode>0.0000</c:formatCode>
                <c:ptCount val="14"/>
                <c:pt idx="0">
                  <c:v>0.34892034061475935</c:v>
                </c:pt>
                <c:pt idx="1">
                  <c:v>0.41058529897885371</c:v>
                </c:pt>
                <c:pt idx="2">
                  <c:v>0.47707897864201332</c:v>
                </c:pt>
                <c:pt idx="3">
                  <c:v>0.42208875418765168</c:v>
                </c:pt>
                <c:pt idx="4">
                  <c:v>0.3311399548811706</c:v>
                </c:pt>
                <c:pt idx="5">
                  <c:v>0.26774844961412353</c:v>
                </c:pt>
                <c:pt idx="6">
                  <c:v>0.2640491102589777</c:v>
                </c:pt>
                <c:pt idx="7">
                  <c:v>0.28381954139995735</c:v>
                </c:pt>
                <c:pt idx="8">
                  <c:v>0.31367989015253678</c:v>
                </c:pt>
                <c:pt idx="9">
                  <c:v>0.46912788024892293</c:v>
                </c:pt>
                <c:pt idx="10">
                  <c:v>0.43436073036215828</c:v>
                </c:pt>
                <c:pt idx="11">
                  <c:v>0.16639684807264754</c:v>
                </c:pt>
                <c:pt idx="12">
                  <c:v>0.37017980141542733</c:v>
                </c:pt>
                <c:pt idx="13">
                  <c:v>0.44853502428230818</c:v>
                </c:pt>
              </c:numCache>
            </c:numRef>
          </c:yVal>
          <c:smooth val="0"/>
        </c:ser>
        <c:ser>
          <c:idx val="5"/>
          <c:order val="6"/>
          <c:tx>
            <c:strRef>
              <c:f>Chromaticity!$L$20</c:f>
              <c:strCache>
                <c:ptCount val="1"/>
                <c:pt idx="0">
                  <c:v>14 samples(Meas)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elete val="1"/>
          </c:dLbls>
          <c:xVal>
            <c:numRef>
              <c:f>Chromaticity!$L$22:$L$35</c:f>
              <c:numCache>
                <c:formatCode>0.0000</c:formatCode>
                <c:ptCount val="14"/>
                <c:pt idx="0">
                  <c:v>0.39548028951490416</c:v>
                </c:pt>
                <c:pt idx="1">
                  <c:v>0.39876374372208556</c:v>
                </c:pt>
                <c:pt idx="2">
                  <c:v>0.37298019692247331</c:v>
                </c:pt>
                <c:pt idx="3">
                  <c:v>0.29698662702027062</c:v>
                </c:pt>
                <c:pt idx="4">
                  <c:v>0.26822092534776071</c:v>
                </c:pt>
                <c:pt idx="5">
                  <c:v>0.25006286879330908</c:v>
                </c:pt>
                <c:pt idx="6">
                  <c:v>0.28939372881401088</c:v>
                </c:pt>
                <c:pt idx="7">
                  <c:v>0.31813249905778712</c:v>
                </c:pt>
                <c:pt idx="8">
                  <c:v>0.50471332760708909</c:v>
                </c:pt>
                <c:pt idx="9">
                  <c:v>0.43943348446776875</c:v>
                </c:pt>
                <c:pt idx="10">
                  <c:v>0.27027528420006236</c:v>
                </c:pt>
                <c:pt idx="11">
                  <c:v>0.16480082276881361</c:v>
                </c:pt>
                <c:pt idx="12">
                  <c:v>0.38954668547976812</c:v>
                </c:pt>
                <c:pt idx="13">
                  <c:v>0.35073891768617294</c:v>
                </c:pt>
              </c:numCache>
            </c:numRef>
          </c:xVal>
          <c:yVal>
            <c:numRef>
              <c:f>Chromaticity!$M$22:$M$35</c:f>
              <c:numCache>
                <c:formatCode>0.0000</c:formatCode>
                <c:ptCount val="14"/>
                <c:pt idx="0">
                  <c:v>0.34302268410564968</c:v>
                </c:pt>
                <c:pt idx="1">
                  <c:v>0.40537626686595962</c:v>
                </c:pt>
                <c:pt idx="2">
                  <c:v>0.4920730343955913</c:v>
                </c:pt>
                <c:pt idx="3">
                  <c:v>0.41826585388440779</c:v>
                </c:pt>
                <c:pt idx="4">
                  <c:v>0.31444407477880115</c:v>
                </c:pt>
                <c:pt idx="5">
                  <c:v>0.2507200266217558</c:v>
                </c:pt>
                <c:pt idx="6">
                  <c:v>0.25404481993962913</c:v>
                </c:pt>
                <c:pt idx="7">
                  <c:v>0.2759713991614719</c:v>
                </c:pt>
                <c:pt idx="8">
                  <c:v>0.34729236830586219</c:v>
                </c:pt>
                <c:pt idx="9">
                  <c:v>0.47522548156873595</c:v>
                </c:pt>
                <c:pt idx="10">
                  <c:v>0.44613991309457485</c:v>
                </c:pt>
                <c:pt idx="11">
                  <c:v>0.10966398230644345</c:v>
                </c:pt>
                <c:pt idx="12">
                  <c:v>0.35984729917543712</c:v>
                </c:pt>
                <c:pt idx="13">
                  <c:v>0.45549493007775543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4167480"/>
        <c:axId val="454167872"/>
      </c:scatterChart>
      <c:valAx>
        <c:axId val="4541674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x</a:t>
                </a:r>
              </a:p>
            </c:rich>
          </c:tx>
          <c:layout>
            <c:manualLayout>
              <c:xMode val="edge"/>
              <c:yMode val="edge"/>
              <c:x val="0.48956884561891545"/>
              <c:y val="0.9407622840008235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4167872"/>
        <c:crosses val="autoZero"/>
        <c:crossBetween val="midCat"/>
        <c:majorUnit val="0.1"/>
        <c:minorUnit val="2.0000000000000011E-2"/>
      </c:valAx>
      <c:valAx>
        <c:axId val="4541678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y</a:t>
                </a:r>
              </a:p>
            </c:rich>
          </c:tx>
          <c:layout>
            <c:manualLayout>
              <c:xMode val="edge"/>
              <c:yMode val="edge"/>
              <c:x val="2.9207232267037569E-2"/>
              <c:y val="0.4908324960004299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4167480"/>
        <c:crosses val="autoZero"/>
        <c:crossBetween val="midCat"/>
      </c:valAx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plotArea>
    <c:legend>
      <c:legendPos val="r"/>
      <c:legendEntry>
        <c:idx val="1"/>
        <c:txPr>
          <a:bodyPr/>
          <a:lstStyle/>
          <a:p>
            <a:pPr>
              <a:defRPr sz="92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</c:legendEntry>
      <c:layout>
        <c:manualLayout>
          <c:xMode val="edge"/>
          <c:yMode val="edge"/>
          <c:x val="0.61335187760778931"/>
          <c:y val="0.10719330372423189"/>
          <c:w val="0.25591098748261515"/>
          <c:h val="0.170663023034632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62753950338709E-2"/>
          <c:y val="7.6246334310850442E-2"/>
          <c:w val="0.86907449209932353"/>
          <c:h val="0.8299120234604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Results!$J$2</c:f>
              <c:strCache>
                <c:ptCount val="1"/>
                <c:pt idx="0">
                  <c:v>Reference</c:v>
                </c:pt>
              </c:strCache>
            </c:strRef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Results!$F$6:$F$19</c:f>
              <c:numCache>
                <c:formatCode>0.00</c:formatCode>
                <c:ptCount val="14"/>
                <c:pt idx="0">
                  <c:v>32.915352438471515</c:v>
                </c:pt>
                <c:pt idx="1">
                  <c:v>15.663782795885188</c:v>
                </c:pt>
                <c:pt idx="2">
                  <c:v>-8.4190690865518327</c:v>
                </c:pt>
                <c:pt idx="3">
                  <c:v>-33.95602466043686</c:v>
                </c:pt>
                <c:pt idx="4">
                  <c:v>-27.747913676974967</c:v>
                </c:pt>
                <c:pt idx="5">
                  <c:v>-19.534168771344216</c:v>
                </c:pt>
                <c:pt idx="6">
                  <c:v>10.160472109977016</c:v>
                </c:pt>
                <c:pt idx="7">
                  <c:v>30.134505745622686</c:v>
                </c:pt>
                <c:pt idx="8">
                  <c:v>108.89310598788978</c:v>
                </c:pt>
                <c:pt idx="9">
                  <c:v>28.924574597274745</c:v>
                </c:pt>
                <c:pt idx="10">
                  <c:v>-43.653509452451495</c:v>
                </c:pt>
                <c:pt idx="11">
                  <c:v>-25.384289668028128</c:v>
                </c:pt>
                <c:pt idx="12">
                  <c:v>30.493794679546316</c:v>
                </c:pt>
                <c:pt idx="13">
                  <c:v>-6.529283316313732</c:v>
                </c:pt>
              </c:numCache>
            </c:numRef>
          </c:xVal>
          <c:yVal>
            <c:numRef>
              <c:f>Results!$G$6:$G$19</c:f>
              <c:numCache>
                <c:formatCode>0.00</c:formatCode>
                <c:ptCount val="14"/>
                <c:pt idx="0">
                  <c:v>7.975529247023891</c:v>
                </c:pt>
                <c:pt idx="1">
                  <c:v>22.247921576727759</c:v>
                </c:pt>
                <c:pt idx="2">
                  <c:v>33.983761453587377</c:v>
                </c:pt>
                <c:pt idx="3">
                  <c:v>17.360994005026129</c:v>
                </c:pt>
                <c:pt idx="4">
                  <c:v>-6.3358664225412928</c:v>
                </c:pt>
                <c:pt idx="5">
                  <c:v>-27.596962985193912</c:v>
                </c:pt>
                <c:pt idx="6">
                  <c:v>-25.184961812831165</c:v>
                </c:pt>
                <c:pt idx="7">
                  <c:v>-15.29861201303085</c:v>
                </c:pt>
                <c:pt idx="8">
                  <c:v>9.840103580267364</c:v>
                </c:pt>
                <c:pt idx="9">
                  <c:v>49.140634522096754</c:v>
                </c:pt>
                <c:pt idx="10">
                  <c:v>14.797904587675584</c:v>
                </c:pt>
                <c:pt idx="11">
                  <c:v>-39.078151756258706</c:v>
                </c:pt>
                <c:pt idx="12">
                  <c:v>16.847798853574034</c:v>
                </c:pt>
                <c:pt idx="13">
                  <c:v>17.98112036011625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Results!$J$3</c:f>
              <c:strCache>
                <c:ptCount val="1"/>
                <c:pt idx="0">
                  <c:v>Test source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Results!$F$27:$F$40</c:f>
              <c:numCache>
                <c:formatCode>0.00</c:formatCode>
                <c:ptCount val="14"/>
                <c:pt idx="0">
                  <c:v>36.293642055202731</c:v>
                </c:pt>
                <c:pt idx="1">
                  <c:v>16.225607739992522</c:v>
                </c:pt>
                <c:pt idx="2">
                  <c:v>-18.291783682479519</c:v>
                </c:pt>
                <c:pt idx="3">
                  <c:v>-36.009202751738762</c:v>
                </c:pt>
                <c:pt idx="4">
                  <c:v>-26.945357242762935</c:v>
                </c:pt>
                <c:pt idx="5">
                  <c:v>-18.996766093537467</c:v>
                </c:pt>
                <c:pt idx="6">
                  <c:v>5.009383412124941</c:v>
                </c:pt>
                <c:pt idx="7">
                  <c:v>15.172594734052375</c:v>
                </c:pt>
                <c:pt idx="8">
                  <c:v>57.901140393499588</c:v>
                </c:pt>
                <c:pt idx="9">
                  <c:v>20.878155283723228</c:v>
                </c:pt>
                <c:pt idx="10">
                  <c:v>-45.910141673866541</c:v>
                </c:pt>
                <c:pt idx="11">
                  <c:v>-14.67598813798074</c:v>
                </c:pt>
                <c:pt idx="12">
                  <c:v>34.717658890326909</c:v>
                </c:pt>
                <c:pt idx="13">
                  <c:v>-13.075190451243902</c:v>
                </c:pt>
              </c:numCache>
            </c:numRef>
          </c:xVal>
          <c:yVal>
            <c:numRef>
              <c:f>Results!$G$27:$G$40</c:f>
              <c:numCache>
                <c:formatCode>0.00</c:formatCode>
                <c:ptCount val="14"/>
                <c:pt idx="0">
                  <c:v>9.1503787919519262</c:v>
                </c:pt>
                <c:pt idx="1">
                  <c:v>23.135090795604427</c:v>
                </c:pt>
                <c:pt idx="2">
                  <c:v>37.793261259995603</c:v>
                </c:pt>
                <c:pt idx="3">
                  <c:v>18.863281656546828</c:v>
                </c:pt>
                <c:pt idx="4">
                  <c:v>-8.0367603615579224</c:v>
                </c:pt>
                <c:pt idx="5">
                  <c:v>-30.252000155342756</c:v>
                </c:pt>
                <c:pt idx="6">
                  <c:v>-25.83649284885546</c:v>
                </c:pt>
                <c:pt idx="7">
                  <c:v>-16.30958722486011</c:v>
                </c:pt>
                <c:pt idx="8">
                  <c:v>10.949910828003603</c:v>
                </c:pt>
                <c:pt idx="9">
                  <c:v>51.891513292210384</c:v>
                </c:pt>
                <c:pt idx="10">
                  <c:v>19.356793106410866</c:v>
                </c:pt>
                <c:pt idx="11">
                  <c:v>-51.22177569019486</c:v>
                </c:pt>
                <c:pt idx="12">
                  <c:v>16.712491884118325</c:v>
                </c:pt>
                <c:pt idx="13">
                  <c:v>19.637177293467076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08576"/>
        <c:axId val="261808968"/>
      </c:scatterChart>
      <c:valAx>
        <c:axId val="2618085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261808968"/>
        <c:crosses val="autoZero"/>
        <c:crossBetween val="midCat"/>
        <c:majorUnit val="20"/>
      </c:valAx>
      <c:valAx>
        <c:axId val="261808968"/>
        <c:scaling>
          <c:orientation val="minMax"/>
          <c:min val="-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2618085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688487584650168"/>
          <c:y val="9.0909090909091037E-2"/>
          <c:w val="0.21670428893905191"/>
          <c:h val="0.114369501466275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62753950338765E-2"/>
          <c:y val="7.6246334310850442E-2"/>
          <c:w val="0.86907449209932386"/>
          <c:h val="0.8299120234604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Results!$J$2</c:f>
              <c:strCache>
                <c:ptCount val="1"/>
                <c:pt idx="0">
                  <c:v>Reference</c:v>
                </c:pt>
              </c:strCache>
            </c:strRef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D4"/>
              </a:solidFill>
              <a:ln>
                <a:solidFill>
                  <a:srgbClr val="0000D4"/>
                </a:solidFill>
                <a:prstDash val="solid"/>
              </a:ln>
            </c:spPr>
          </c:marker>
          <c:xVal>
            <c:numRef>
              <c:f>Results!$F$6:$F$13</c:f>
              <c:numCache>
                <c:formatCode>0.00</c:formatCode>
                <c:ptCount val="8"/>
                <c:pt idx="0">
                  <c:v>32.915352438471515</c:v>
                </c:pt>
                <c:pt idx="1">
                  <c:v>15.663782795885188</c:v>
                </c:pt>
                <c:pt idx="2">
                  <c:v>-8.4190690865518327</c:v>
                </c:pt>
                <c:pt idx="3">
                  <c:v>-33.95602466043686</c:v>
                </c:pt>
                <c:pt idx="4">
                  <c:v>-27.747913676974967</c:v>
                </c:pt>
                <c:pt idx="5">
                  <c:v>-19.534168771344216</c:v>
                </c:pt>
                <c:pt idx="6">
                  <c:v>10.160472109977016</c:v>
                </c:pt>
                <c:pt idx="7">
                  <c:v>30.134505745622686</c:v>
                </c:pt>
              </c:numCache>
            </c:numRef>
          </c:xVal>
          <c:yVal>
            <c:numRef>
              <c:f>Results!$G$6:$G$13</c:f>
              <c:numCache>
                <c:formatCode>0.00</c:formatCode>
                <c:ptCount val="8"/>
                <c:pt idx="0">
                  <c:v>7.975529247023891</c:v>
                </c:pt>
                <c:pt idx="1">
                  <c:v>22.247921576727759</c:v>
                </c:pt>
                <c:pt idx="2">
                  <c:v>33.983761453587377</c:v>
                </c:pt>
                <c:pt idx="3">
                  <c:v>17.360994005026129</c:v>
                </c:pt>
                <c:pt idx="4">
                  <c:v>-6.3358664225412928</c:v>
                </c:pt>
                <c:pt idx="5">
                  <c:v>-27.596962985193912</c:v>
                </c:pt>
                <c:pt idx="6">
                  <c:v>-25.184961812831165</c:v>
                </c:pt>
                <c:pt idx="7">
                  <c:v>-15.29861201303085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Results!$J$3</c:f>
              <c:strCache>
                <c:ptCount val="1"/>
                <c:pt idx="0">
                  <c:v>Test source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D0806"/>
              </a:solidFill>
              <a:ln>
                <a:solidFill>
                  <a:srgbClr val="DD0806"/>
                </a:solidFill>
                <a:prstDash val="solid"/>
              </a:ln>
            </c:spPr>
          </c:marker>
          <c:xVal>
            <c:numRef>
              <c:f>Results!$F$27:$F$34</c:f>
              <c:numCache>
                <c:formatCode>0.00</c:formatCode>
                <c:ptCount val="8"/>
                <c:pt idx="0">
                  <c:v>36.293642055202731</c:v>
                </c:pt>
                <c:pt idx="1">
                  <c:v>16.225607739992522</c:v>
                </c:pt>
                <c:pt idx="2">
                  <c:v>-18.291783682479519</c:v>
                </c:pt>
                <c:pt idx="3">
                  <c:v>-36.009202751738762</c:v>
                </c:pt>
                <c:pt idx="4">
                  <c:v>-26.945357242762935</c:v>
                </c:pt>
                <c:pt idx="5">
                  <c:v>-18.996766093537467</c:v>
                </c:pt>
                <c:pt idx="6">
                  <c:v>5.009383412124941</c:v>
                </c:pt>
                <c:pt idx="7">
                  <c:v>15.172594734052375</c:v>
                </c:pt>
              </c:numCache>
            </c:numRef>
          </c:xVal>
          <c:yVal>
            <c:numRef>
              <c:f>Results!$G$27:$G$34</c:f>
              <c:numCache>
                <c:formatCode>0.00</c:formatCode>
                <c:ptCount val="8"/>
                <c:pt idx="0">
                  <c:v>9.1503787919519262</c:v>
                </c:pt>
                <c:pt idx="1">
                  <c:v>23.135090795604427</c:v>
                </c:pt>
                <c:pt idx="2">
                  <c:v>37.793261259995603</c:v>
                </c:pt>
                <c:pt idx="3">
                  <c:v>18.863281656546828</c:v>
                </c:pt>
                <c:pt idx="4">
                  <c:v>-8.0367603615579224</c:v>
                </c:pt>
                <c:pt idx="5">
                  <c:v>-30.252000155342756</c:v>
                </c:pt>
                <c:pt idx="6">
                  <c:v>-25.83649284885546</c:v>
                </c:pt>
                <c:pt idx="7">
                  <c:v>-16.30958722486011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09752"/>
        <c:axId val="261810144"/>
      </c:scatterChart>
      <c:valAx>
        <c:axId val="261809752"/>
        <c:scaling>
          <c:orientation val="minMax"/>
          <c:max val="60"/>
          <c:min val="-5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U*</a:t>
                </a:r>
              </a:p>
            </c:rich>
          </c:tx>
          <c:layout>
            <c:manualLayout>
              <c:xMode val="edge"/>
              <c:yMode val="edge"/>
              <c:x val="0.87274833335891555"/>
              <c:y val="0.425219941348973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261810144"/>
        <c:crosses val="autoZero"/>
        <c:crossBetween val="midCat"/>
        <c:majorUnit val="10"/>
      </c:valAx>
      <c:valAx>
        <c:axId val="261810144"/>
        <c:scaling>
          <c:orientation val="minMax"/>
          <c:max val="60"/>
          <c:min val="-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 sz="1000"/>
                </a:pPr>
                <a:r>
                  <a:rPr lang="en-GB" sz="1000"/>
                  <a:t>V*</a:t>
                </a:r>
              </a:p>
            </c:rich>
          </c:tx>
          <c:layout>
            <c:manualLayout>
              <c:xMode val="edge"/>
              <c:yMode val="edge"/>
              <c:x val="0.42747709167932973"/>
              <c:y val="9.9237536656891501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261809752"/>
        <c:crosses val="autoZero"/>
        <c:crossBetween val="midCat"/>
        <c:maj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0529746281714791"/>
          <c:y val="9.8729227761485849E-2"/>
          <c:w val="0.280196225471816"/>
          <c:h val="0.106549364613880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053708439897693E-2"/>
          <c:y val="6.2906724511930676E-2"/>
          <c:w val="0.76470588235294168"/>
          <c:h val="0.826464208242949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'Sample data'!$B$4</c:f>
              <c:strCache>
                <c:ptCount val="1"/>
                <c:pt idx="0">
                  <c:v>TCS01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data'!$B$5:$B$99</c:f>
              <c:numCache>
                <c:formatCode>General</c:formatCode>
                <c:ptCount val="95"/>
                <c:pt idx="0">
                  <c:v>0.11600000000000001</c:v>
                </c:pt>
                <c:pt idx="1">
                  <c:v>0.13600000000000001</c:v>
                </c:pt>
                <c:pt idx="2">
                  <c:v>0.159</c:v>
                </c:pt>
                <c:pt idx="3">
                  <c:v>0.19</c:v>
                </c:pt>
                <c:pt idx="4">
                  <c:v>0.219</c:v>
                </c:pt>
                <c:pt idx="5">
                  <c:v>0.23899999999999999</c:v>
                </c:pt>
                <c:pt idx="6">
                  <c:v>0.252</c:v>
                </c:pt>
                <c:pt idx="7">
                  <c:v>0.25600000000000001</c:v>
                </c:pt>
                <c:pt idx="8">
                  <c:v>0.25600000000000001</c:v>
                </c:pt>
                <c:pt idx="9">
                  <c:v>0.254</c:v>
                </c:pt>
                <c:pt idx="10">
                  <c:v>0.252</c:v>
                </c:pt>
                <c:pt idx="11">
                  <c:v>0.248</c:v>
                </c:pt>
                <c:pt idx="12">
                  <c:v>0.24399999999999999</c:v>
                </c:pt>
                <c:pt idx="13">
                  <c:v>0.24</c:v>
                </c:pt>
                <c:pt idx="14">
                  <c:v>0.23699999999999999</c:v>
                </c:pt>
                <c:pt idx="15">
                  <c:v>0.23200000000000001</c:v>
                </c:pt>
                <c:pt idx="16">
                  <c:v>0.23</c:v>
                </c:pt>
                <c:pt idx="17">
                  <c:v>0.22600000000000001</c:v>
                </c:pt>
                <c:pt idx="18">
                  <c:v>0.22500000000000001</c:v>
                </c:pt>
                <c:pt idx="19">
                  <c:v>0.222</c:v>
                </c:pt>
                <c:pt idx="20">
                  <c:v>0.22</c:v>
                </c:pt>
                <c:pt idx="21">
                  <c:v>0.218</c:v>
                </c:pt>
                <c:pt idx="22">
                  <c:v>0.216</c:v>
                </c:pt>
                <c:pt idx="23">
                  <c:v>0.214</c:v>
                </c:pt>
                <c:pt idx="24">
                  <c:v>0.214</c:v>
                </c:pt>
                <c:pt idx="25">
                  <c:v>0.214</c:v>
                </c:pt>
                <c:pt idx="26">
                  <c:v>0.216</c:v>
                </c:pt>
                <c:pt idx="27">
                  <c:v>0.218</c:v>
                </c:pt>
                <c:pt idx="28">
                  <c:v>0.223</c:v>
                </c:pt>
                <c:pt idx="29">
                  <c:v>0.22500000000000001</c:v>
                </c:pt>
                <c:pt idx="30">
                  <c:v>0.22600000000000001</c:v>
                </c:pt>
                <c:pt idx="31">
                  <c:v>0.22600000000000001</c:v>
                </c:pt>
                <c:pt idx="32">
                  <c:v>0.22500000000000001</c:v>
                </c:pt>
                <c:pt idx="33">
                  <c:v>0.22500000000000001</c:v>
                </c:pt>
                <c:pt idx="34">
                  <c:v>0.22700000000000001</c:v>
                </c:pt>
                <c:pt idx="35">
                  <c:v>0.23</c:v>
                </c:pt>
                <c:pt idx="36">
                  <c:v>0.23599999999999999</c:v>
                </c:pt>
                <c:pt idx="37">
                  <c:v>0.245</c:v>
                </c:pt>
                <c:pt idx="38">
                  <c:v>0.253</c:v>
                </c:pt>
                <c:pt idx="39">
                  <c:v>0.26200000000000001</c:v>
                </c:pt>
                <c:pt idx="40">
                  <c:v>0.27200000000000002</c:v>
                </c:pt>
                <c:pt idx="41">
                  <c:v>0.28299999999999997</c:v>
                </c:pt>
                <c:pt idx="42">
                  <c:v>0.29799999999999999</c:v>
                </c:pt>
                <c:pt idx="43">
                  <c:v>0.318</c:v>
                </c:pt>
                <c:pt idx="44">
                  <c:v>0.34100000000000003</c:v>
                </c:pt>
                <c:pt idx="45">
                  <c:v>0.36699999999999999</c:v>
                </c:pt>
                <c:pt idx="46">
                  <c:v>0.39</c:v>
                </c:pt>
                <c:pt idx="47">
                  <c:v>0.40899999999999997</c:v>
                </c:pt>
                <c:pt idx="48">
                  <c:v>0.42399999999999999</c:v>
                </c:pt>
                <c:pt idx="49">
                  <c:v>0.435</c:v>
                </c:pt>
                <c:pt idx="50">
                  <c:v>0.442</c:v>
                </c:pt>
                <c:pt idx="51">
                  <c:v>0.44800000000000001</c:v>
                </c:pt>
                <c:pt idx="52">
                  <c:v>0.45</c:v>
                </c:pt>
                <c:pt idx="53">
                  <c:v>0.45100000000000001</c:v>
                </c:pt>
                <c:pt idx="54">
                  <c:v>0.45100000000000001</c:v>
                </c:pt>
                <c:pt idx="55">
                  <c:v>0.45100000000000001</c:v>
                </c:pt>
                <c:pt idx="56">
                  <c:v>0.45100000000000001</c:v>
                </c:pt>
                <c:pt idx="57">
                  <c:v>0.45100000000000001</c:v>
                </c:pt>
                <c:pt idx="58">
                  <c:v>0.45</c:v>
                </c:pt>
                <c:pt idx="59">
                  <c:v>0.45</c:v>
                </c:pt>
                <c:pt idx="60">
                  <c:v>0.45100000000000001</c:v>
                </c:pt>
                <c:pt idx="61">
                  <c:v>0.45100000000000001</c:v>
                </c:pt>
                <c:pt idx="62">
                  <c:v>0.45300000000000001</c:v>
                </c:pt>
                <c:pt idx="63">
                  <c:v>0.45400000000000001</c:v>
                </c:pt>
                <c:pt idx="64">
                  <c:v>0.45500000000000002</c:v>
                </c:pt>
                <c:pt idx="65">
                  <c:v>0.45700000000000002</c:v>
                </c:pt>
                <c:pt idx="66">
                  <c:v>0.45800000000000002</c:v>
                </c:pt>
                <c:pt idx="67">
                  <c:v>0.46</c:v>
                </c:pt>
                <c:pt idx="68">
                  <c:v>0.46200000000000002</c:v>
                </c:pt>
                <c:pt idx="69">
                  <c:v>0.46300000000000002</c:v>
                </c:pt>
                <c:pt idx="70">
                  <c:v>0.46400000000000002</c:v>
                </c:pt>
                <c:pt idx="71">
                  <c:v>0.46500000000000002</c:v>
                </c:pt>
                <c:pt idx="72">
                  <c:v>0.46600000000000003</c:v>
                </c:pt>
                <c:pt idx="73">
                  <c:v>0.46600000000000003</c:v>
                </c:pt>
                <c:pt idx="74">
                  <c:v>0.46600000000000003</c:v>
                </c:pt>
                <c:pt idx="75">
                  <c:v>0.46600000000000003</c:v>
                </c:pt>
                <c:pt idx="76">
                  <c:v>0.46700000000000003</c:v>
                </c:pt>
                <c:pt idx="77">
                  <c:v>0.46700000000000003</c:v>
                </c:pt>
                <c:pt idx="78">
                  <c:v>0.46700000000000003</c:v>
                </c:pt>
                <c:pt idx="79">
                  <c:v>0.46700000000000003</c:v>
                </c:pt>
                <c:pt idx="80">
                  <c:v>0.46700000000000003</c:v>
                </c:pt>
                <c:pt idx="81">
                  <c:v>0.46700000000000003</c:v>
                </c:pt>
                <c:pt idx="82">
                  <c:v>0.46700000000000003</c:v>
                </c:pt>
                <c:pt idx="83">
                  <c:v>0.46700000000000003</c:v>
                </c:pt>
                <c:pt idx="84">
                  <c:v>0.46700000000000003</c:v>
                </c:pt>
                <c:pt idx="85">
                  <c:v>0.46700000000000003</c:v>
                </c:pt>
                <c:pt idx="86">
                  <c:v>0.46700000000000003</c:v>
                </c:pt>
                <c:pt idx="87">
                  <c:v>0.46600000000000003</c:v>
                </c:pt>
                <c:pt idx="88">
                  <c:v>0.46600000000000003</c:v>
                </c:pt>
                <c:pt idx="89">
                  <c:v>0.46600000000000003</c:v>
                </c:pt>
                <c:pt idx="90">
                  <c:v>0.46600000000000003</c:v>
                </c:pt>
                <c:pt idx="91">
                  <c:v>0.46600000000000003</c:v>
                </c:pt>
                <c:pt idx="92">
                  <c:v>0.46500000000000002</c:v>
                </c:pt>
                <c:pt idx="93">
                  <c:v>0.46400000000000002</c:v>
                </c:pt>
                <c:pt idx="94">
                  <c:v>0.46400000000000002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'Sample data'!$C$4</c:f>
              <c:strCache>
                <c:ptCount val="1"/>
                <c:pt idx="0">
                  <c:v>TCS02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data'!$C$5:$C$99</c:f>
              <c:numCache>
                <c:formatCode>General</c:formatCode>
                <c:ptCount val="95"/>
                <c:pt idx="0">
                  <c:v>5.2999999999999999E-2</c:v>
                </c:pt>
                <c:pt idx="1">
                  <c:v>5.5E-2</c:v>
                </c:pt>
                <c:pt idx="2">
                  <c:v>5.8999999999999997E-2</c:v>
                </c:pt>
                <c:pt idx="3">
                  <c:v>6.4000000000000001E-2</c:v>
                </c:pt>
                <c:pt idx="4">
                  <c:v>7.0000000000000007E-2</c:v>
                </c:pt>
                <c:pt idx="5">
                  <c:v>7.9000000000000001E-2</c:v>
                </c:pt>
                <c:pt idx="6">
                  <c:v>8.8999999999999996E-2</c:v>
                </c:pt>
                <c:pt idx="7">
                  <c:v>0.10100000000000001</c:v>
                </c:pt>
                <c:pt idx="8">
                  <c:v>0.111</c:v>
                </c:pt>
                <c:pt idx="9">
                  <c:v>0.11600000000000001</c:v>
                </c:pt>
                <c:pt idx="10">
                  <c:v>0.11799999999999999</c:v>
                </c:pt>
                <c:pt idx="11">
                  <c:v>0.12</c:v>
                </c:pt>
                <c:pt idx="12">
                  <c:v>0.121</c:v>
                </c:pt>
                <c:pt idx="13">
                  <c:v>0.122</c:v>
                </c:pt>
                <c:pt idx="14">
                  <c:v>0.122</c:v>
                </c:pt>
                <c:pt idx="15">
                  <c:v>0.122</c:v>
                </c:pt>
                <c:pt idx="16">
                  <c:v>0.123</c:v>
                </c:pt>
                <c:pt idx="17">
                  <c:v>0.124</c:v>
                </c:pt>
                <c:pt idx="18">
                  <c:v>0.127</c:v>
                </c:pt>
                <c:pt idx="19">
                  <c:v>0.128</c:v>
                </c:pt>
                <c:pt idx="20">
                  <c:v>0.13100000000000001</c:v>
                </c:pt>
                <c:pt idx="21">
                  <c:v>0.13400000000000001</c:v>
                </c:pt>
                <c:pt idx="22">
                  <c:v>0.13800000000000001</c:v>
                </c:pt>
                <c:pt idx="23">
                  <c:v>0.14299999999999999</c:v>
                </c:pt>
                <c:pt idx="24">
                  <c:v>0.15</c:v>
                </c:pt>
                <c:pt idx="25">
                  <c:v>0.159</c:v>
                </c:pt>
                <c:pt idx="26">
                  <c:v>0.17399999999999999</c:v>
                </c:pt>
                <c:pt idx="27">
                  <c:v>0.19</c:v>
                </c:pt>
                <c:pt idx="28">
                  <c:v>0.20699999999999999</c:v>
                </c:pt>
                <c:pt idx="29">
                  <c:v>0.22500000000000001</c:v>
                </c:pt>
                <c:pt idx="30">
                  <c:v>0.24199999999999999</c:v>
                </c:pt>
                <c:pt idx="31">
                  <c:v>0.253</c:v>
                </c:pt>
                <c:pt idx="32">
                  <c:v>0.26</c:v>
                </c:pt>
                <c:pt idx="33">
                  <c:v>0.26400000000000001</c:v>
                </c:pt>
                <c:pt idx="34">
                  <c:v>0.26700000000000002</c:v>
                </c:pt>
                <c:pt idx="35">
                  <c:v>0.26900000000000002</c:v>
                </c:pt>
                <c:pt idx="36">
                  <c:v>0.27200000000000002</c:v>
                </c:pt>
                <c:pt idx="37">
                  <c:v>0.27600000000000002</c:v>
                </c:pt>
                <c:pt idx="38">
                  <c:v>0.28199999999999997</c:v>
                </c:pt>
                <c:pt idx="39">
                  <c:v>0.28899999999999998</c:v>
                </c:pt>
                <c:pt idx="40">
                  <c:v>0.29899999999999999</c:v>
                </c:pt>
                <c:pt idx="41">
                  <c:v>0.309</c:v>
                </c:pt>
                <c:pt idx="42">
                  <c:v>0.32200000000000001</c:v>
                </c:pt>
                <c:pt idx="43">
                  <c:v>0.32900000000000001</c:v>
                </c:pt>
                <c:pt idx="44">
                  <c:v>0.33500000000000002</c:v>
                </c:pt>
                <c:pt idx="45">
                  <c:v>0.33900000000000002</c:v>
                </c:pt>
                <c:pt idx="46">
                  <c:v>0.34100000000000003</c:v>
                </c:pt>
                <c:pt idx="47">
                  <c:v>0.34100000000000003</c:v>
                </c:pt>
                <c:pt idx="48">
                  <c:v>0.34200000000000003</c:v>
                </c:pt>
                <c:pt idx="49">
                  <c:v>0.34200000000000003</c:v>
                </c:pt>
                <c:pt idx="50">
                  <c:v>0.34200000000000003</c:v>
                </c:pt>
                <c:pt idx="51">
                  <c:v>0.34100000000000003</c:v>
                </c:pt>
                <c:pt idx="52">
                  <c:v>0.34100000000000003</c:v>
                </c:pt>
                <c:pt idx="53">
                  <c:v>0.33900000000000002</c:v>
                </c:pt>
                <c:pt idx="54">
                  <c:v>0.33900000000000002</c:v>
                </c:pt>
                <c:pt idx="55">
                  <c:v>0.33800000000000002</c:v>
                </c:pt>
                <c:pt idx="56">
                  <c:v>0.33800000000000002</c:v>
                </c:pt>
                <c:pt idx="57">
                  <c:v>0.33700000000000002</c:v>
                </c:pt>
                <c:pt idx="58">
                  <c:v>0.33600000000000002</c:v>
                </c:pt>
                <c:pt idx="59">
                  <c:v>0.33500000000000002</c:v>
                </c:pt>
                <c:pt idx="60">
                  <c:v>0.33400000000000002</c:v>
                </c:pt>
                <c:pt idx="61">
                  <c:v>0.33200000000000002</c:v>
                </c:pt>
                <c:pt idx="62">
                  <c:v>0.33200000000000002</c:v>
                </c:pt>
                <c:pt idx="63">
                  <c:v>0.33100000000000002</c:v>
                </c:pt>
                <c:pt idx="64">
                  <c:v>0.33100000000000002</c:v>
                </c:pt>
                <c:pt idx="65">
                  <c:v>0.33</c:v>
                </c:pt>
                <c:pt idx="66">
                  <c:v>0.32900000000000001</c:v>
                </c:pt>
                <c:pt idx="67">
                  <c:v>0.32800000000000001</c:v>
                </c:pt>
                <c:pt idx="68">
                  <c:v>0.32800000000000001</c:v>
                </c:pt>
                <c:pt idx="69">
                  <c:v>0.32700000000000001</c:v>
                </c:pt>
                <c:pt idx="70">
                  <c:v>0.32600000000000001</c:v>
                </c:pt>
                <c:pt idx="71">
                  <c:v>0.32500000000000001</c:v>
                </c:pt>
                <c:pt idx="72">
                  <c:v>0.32400000000000001</c:v>
                </c:pt>
                <c:pt idx="73">
                  <c:v>0.32400000000000001</c:v>
                </c:pt>
                <c:pt idx="74">
                  <c:v>0.32400000000000001</c:v>
                </c:pt>
                <c:pt idx="75">
                  <c:v>0.32300000000000001</c:v>
                </c:pt>
                <c:pt idx="76">
                  <c:v>0.32200000000000001</c:v>
                </c:pt>
                <c:pt idx="77">
                  <c:v>0.32100000000000001</c:v>
                </c:pt>
                <c:pt idx="78">
                  <c:v>0.32</c:v>
                </c:pt>
                <c:pt idx="79">
                  <c:v>0.318</c:v>
                </c:pt>
                <c:pt idx="80">
                  <c:v>0.316</c:v>
                </c:pt>
                <c:pt idx="81">
                  <c:v>0.315</c:v>
                </c:pt>
                <c:pt idx="82">
                  <c:v>0.315</c:v>
                </c:pt>
                <c:pt idx="83">
                  <c:v>0.314</c:v>
                </c:pt>
                <c:pt idx="84">
                  <c:v>0.314</c:v>
                </c:pt>
                <c:pt idx="85">
                  <c:v>0.313</c:v>
                </c:pt>
                <c:pt idx="86">
                  <c:v>0.313</c:v>
                </c:pt>
                <c:pt idx="87">
                  <c:v>0.312</c:v>
                </c:pt>
                <c:pt idx="88">
                  <c:v>0.312</c:v>
                </c:pt>
                <c:pt idx="89">
                  <c:v>0.311</c:v>
                </c:pt>
                <c:pt idx="90">
                  <c:v>0.311</c:v>
                </c:pt>
                <c:pt idx="91">
                  <c:v>0.311</c:v>
                </c:pt>
                <c:pt idx="92">
                  <c:v>0.311</c:v>
                </c:pt>
                <c:pt idx="93">
                  <c:v>0.311</c:v>
                </c:pt>
                <c:pt idx="94">
                  <c:v>0.31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'Sample data'!$D$4</c:f>
              <c:strCache>
                <c:ptCount val="1"/>
                <c:pt idx="0">
                  <c:v>TCS03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data'!$D$5:$D$99</c:f>
              <c:numCache>
                <c:formatCode>General</c:formatCode>
                <c:ptCount val="95"/>
                <c:pt idx="0">
                  <c:v>5.8000000000000003E-2</c:v>
                </c:pt>
                <c:pt idx="1">
                  <c:v>5.8999999999999997E-2</c:v>
                </c:pt>
                <c:pt idx="2">
                  <c:v>6.0999999999999999E-2</c:v>
                </c:pt>
                <c:pt idx="3">
                  <c:v>6.3E-2</c:v>
                </c:pt>
                <c:pt idx="4">
                  <c:v>6.5000000000000002E-2</c:v>
                </c:pt>
                <c:pt idx="5">
                  <c:v>6.8000000000000005E-2</c:v>
                </c:pt>
                <c:pt idx="6">
                  <c:v>7.0000000000000007E-2</c:v>
                </c:pt>
                <c:pt idx="7">
                  <c:v>7.1999999999999995E-2</c:v>
                </c:pt>
                <c:pt idx="8">
                  <c:v>7.2999999999999995E-2</c:v>
                </c:pt>
                <c:pt idx="9">
                  <c:v>7.2999999999999995E-2</c:v>
                </c:pt>
                <c:pt idx="10">
                  <c:v>7.3999999999999996E-2</c:v>
                </c:pt>
                <c:pt idx="11">
                  <c:v>7.3999999999999996E-2</c:v>
                </c:pt>
                <c:pt idx="12">
                  <c:v>7.3999999999999996E-2</c:v>
                </c:pt>
                <c:pt idx="13">
                  <c:v>7.2999999999999995E-2</c:v>
                </c:pt>
                <c:pt idx="14">
                  <c:v>7.2999999999999995E-2</c:v>
                </c:pt>
                <c:pt idx="15">
                  <c:v>7.2999999999999995E-2</c:v>
                </c:pt>
                <c:pt idx="16">
                  <c:v>7.2999999999999995E-2</c:v>
                </c:pt>
                <c:pt idx="17">
                  <c:v>7.2999999999999995E-2</c:v>
                </c:pt>
                <c:pt idx="18">
                  <c:v>7.3999999999999996E-2</c:v>
                </c:pt>
                <c:pt idx="19">
                  <c:v>7.4999999999999997E-2</c:v>
                </c:pt>
                <c:pt idx="20">
                  <c:v>7.6999999999999999E-2</c:v>
                </c:pt>
                <c:pt idx="21">
                  <c:v>0.08</c:v>
                </c:pt>
                <c:pt idx="22">
                  <c:v>8.5000000000000006E-2</c:v>
                </c:pt>
                <c:pt idx="23">
                  <c:v>9.4E-2</c:v>
                </c:pt>
                <c:pt idx="24">
                  <c:v>0.109</c:v>
                </c:pt>
                <c:pt idx="25">
                  <c:v>0.126</c:v>
                </c:pt>
                <c:pt idx="26">
                  <c:v>0.14799999999999999</c:v>
                </c:pt>
                <c:pt idx="27">
                  <c:v>0.17199999999999999</c:v>
                </c:pt>
                <c:pt idx="28">
                  <c:v>0.19800000000000001</c:v>
                </c:pt>
                <c:pt idx="29">
                  <c:v>0.221</c:v>
                </c:pt>
                <c:pt idx="30">
                  <c:v>0.24099999999999999</c:v>
                </c:pt>
                <c:pt idx="31">
                  <c:v>0.26</c:v>
                </c:pt>
                <c:pt idx="32">
                  <c:v>0.27800000000000002</c:v>
                </c:pt>
                <c:pt idx="33">
                  <c:v>0.30199999999999999</c:v>
                </c:pt>
                <c:pt idx="34">
                  <c:v>0.33900000000000002</c:v>
                </c:pt>
                <c:pt idx="35">
                  <c:v>0.37</c:v>
                </c:pt>
                <c:pt idx="36">
                  <c:v>0.39200000000000002</c:v>
                </c:pt>
                <c:pt idx="37">
                  <c:v>0.39900000000000002</c:v>
                </c:pt>
                <c:pt idx="38">
                  <c:v>0.4</c:v>
                </c:pt>
                <c:pt idx="39">
                  <c:v>0.39300000000000002</c:v>
                </c:pt>
                <c:pt idx="40">
                  <c:v>0.38</c:v>
                </c:pt>
                <c:pt idx="41">
                  <c:v>0.36499999999999999</c:v>
                </c:pt>
                <c:pt idx="42">
                  <c:v>0.34899999999999998</c:v>
                </c:pt>
                <c:pt idx="43">
                  <c:v>0.33200000000000002</c:v>
                </c:pt>
                <c:pt idx="44">
                  <c:v>0.315</c:v>
                </c:pt>
                <c:pt idx="45">
                  <c:v>0.29899999999999999</c:v>
                </c:pt>
                <c:pt idx="46">
                  <c:v>0.28499999999999998</c:v>
                </c:pt>
                <c:pt idx="47">
                  <c:v>0.27200000000000002</c:v>
                </c:pt>
                <c:pt idx="48">
                  <c:v>0.26400000000000001</c:v>
                </c:pt>
                <c:pt idx="49">
                  <c:v>0.25700000000000001</c:v>
                </c:pt>
                <c:pt idx="50">
                  <c:v>0.252</c:v>
                </c:pt>
                <c:pt idx="51">
                  <c:v>0.247</c:v>
                </c:pt>
                <c:pt idx="52">
                  <c:v>0.24099999999999999</c:v>
                </c:pt>
                <c:pt idx="53">
                  <c:v>0.23499999999999999</c:v>
                </c:pt>
                <c:pt idx="54">
                  <c:v>0.22900000000000001</c:v>
                </c:pt>
                <c:pt idx="55">
                  <c:v>0.224</c:v>
                </c:pt>
                <c:pt idx="56">
                  <c:v>0.22</c:v>
                </c:pt>
                <c:pt idx="57">
                  <c:v>0.217</c:v>
                </c:pt>
                <c:pt idx="58">
                  <c:v>0.216</c:v>
                </c:pt>
                <c:pt idx="59">
                  <c:v>0.216</c:v>
                </c:pt>
                <c:pt idx="60">
                  <c:v>0.219</c:v>
                </c:pt>
                <c:pt idx="61">
                  <c:v>0.224</c:v>
                </c:pt>
                <c:pt idx="62">
                  <c:v>0.23</c:v>
                </c:pt>
                <c:pt idx="63">
                  <c:v>0.23799999999999999</c:v>
                </c:pt>
                <c:pt idx="64">
                  <c:v>0.251</c:v>
                </c:pt>
                <c:pt idx="65">
                  <c:v>0.26900000000000002</c:v>
                </c:pt>
                <c:pt idx="66">
                  <c:v>0.28799999999999998</c:v>
                </c:pt>
                <c:pt idx="67">
                  <c:v>0.312</c:v>
                </c:pt>
                <c:pt idx="68">
                  <c:v>0.34</c:v>
                </c:pt>
                <c:pt idx="69">
                  <c:v>0.36599999999999999</c:v>
                </c:pt>
                <c:pt idx="70">
                  <c:v>0.39</c:v>
                </c:pt>
                <c:pt idx="71">
                  <c:v>0.41199999999999998</c:v>
                </c:pt>
                <c:pt idx="72">
                  <c:v>0.43099999999999999</c:v>
                </c:pt>
                <c:pt idx="73">
                  <c:v>0.44700000000000001</c:v>
                </c:pt>
                <c:pt idx="74">
                  <c:v>0.46</c:v>
                </c:pt>
                <c:pt idx="75">
                  <c:v>0.47199999999999998</c:v>
                </c:pt>
                <c:pt idx="76">
                  <c:v>0.48099999999999998</c:v>
                </c:pt>
                <c:pt idx="77">
                  <c:v>0.48799999999999999</c:v>
                </c:pt>
                <c:pt idx="78">
                  <c:v>0.49299999999999999</c:v>
                </c:pt>
                <c:pt idx="79">
                  <c:v>0.497</c:v>
                </c:pt>
                <c:pt idx="80">
                  <c:v>0.5</c:v>
                </c:pt>
                <c:pt idx="81">
                  <c:v>0.502</c:v>
                </c:pt>
                <c:pt idx="82">
                  <c:v>0.505</c:v>
                </c:pt>
                <c:pt idx="83">
                  <c:v>0.51</c:v>
                </c:pt>
                <c:pt idx="84">
                  <c:v>0.51600000000000001</c:v>
                </c:pt>
                <c:pt idx="85">
                  <c:v>0.52</c:v>
                </c:pt>
                <c:pt idx="86">
                  <c:v>0.52400000000000002</c:v>
                </c:pt>
                <c:pt idx="87">
                  <c:v>0.52700000000000002</c:v>
                </c:pt>
                <c:pt idx="88">
                  <c:v>0.53100000000000003</c:v>
                </c:pt>
                <c:pt idx="89">
                  <c:v>0.53500000000000003</c:v>
                </c:pt>
                <c:pt idx="90">
                  <c:v>0.53900000000000003</c:v>
                </c:pt>
                <c:pt idx="91">
                  <c:v>0.54400000000000004</c:v>
                </c:pt>
                <c:pt idx="92">
                  <c:v>0.54800000000000004</c:v>
                </c:pt>
                <c:pt idx="93">
                  <c:v>0.55200000000000005</c:v>
                </c:pt>
                <c:pt idx="94">
                  <c:v>0.55500000000000005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'Sample data'!$E$4</c:f>
              <c:strCache>
                <c:ptCount val="1"/>
                <c:pt idx="0">
                  <c:v>TCS04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data'!$E$5:$E$99</c:f>
              <c:numCache>
                <c:formatCode>General</c:formatCode>
                <c:ptCount val="95"/>
                <c:pt idx="0">
                  <c:v>5.7000000000000002E-2</c:v>
                </c:pt>
                <c:pt idx="1">
                  <c:v>5.8999999999999997E-2</c:v>
                </c:pt>
                <c:pt idx="2">
                  <c:v>6.2E-2</c:v>
                </c:pt>
                <c:pt idx="3">
                  <c:v>6.7000000000000004E-2</c:v>
                </c:pt>
                <c:pt idx="4">
                  <c:v>7.3999999999999996E-2</c:v>
                </c:pt>
                <c:pt idx="5">
                  <c:v>8.3000000000000004E-2</c:v>
                </c:pt>
                <c:pt idx="6">
                  <c:v>9.2999999999999999E-2</c:v>
                </c:pt>
                <c:pt idx="7">
                  <c:v>0.105</c:v>
                </c:pt>
                <c:pt idx="8">
                  <c:v>0.11600000000000001</c:v>
                </c:pt>
                <c:pt idx="9">
                  <c:v>0.121</c:v>
                </c:pt>
                <c:pt idx="10">
                  <c:v>0.124</c:v>
                </c:pt>
                <c:pt idx="11">
                  <c:v>0.126</c:v>
                </c:pt>
                <c:pt idx="12">
                  <c:v>0.128</c:v>
                </c:pt>
                <c:pt idx="13">
                  <c:v>0.13100000000000001</c:v>
                </c:pt>
                <c:pt idx="14">
                  <c:v>0.13500000000000001</c:v>
                </c:pt>
                <c:pt idx="15">
                  <c:v>0.13900000000000001</c:v>
                </c:pt>
                <c:pt idx="16">
                  <c:v>0.14399999999999999</c:v>
                </c:pt>
                <c:pt idx="17">
                  <c:v>0.151</c:v>
                </c:pt>
                <c:pt idx="18">
                  <c:v>0.161</c:v>
                </c:pt>
                <c:pt idx="19">
                  <c:v>0.17199999999999999</c:v>
                </c:pt>
                <c:pt idx="20">
                  <c:v>0.186</c:v>
                </c:pt>
                <c:pt idx="21">
                  <c:v>0.20499999999999999</c:v>
                </c:pt>
                <c:pt idx="22">
                  <c:v>0.22900000000000001</c:v>
                </c:pt>
                <c:pt idx="23">
                  <c:v>0.254</c:v>
                </c:pt>
                <c:pt idx="24">
                  <c:v>0.28100000000000003</c:v>
                </c:pt>
                <c:pt idx="25">
                  <c:v>0.308</c:v>
                </c:pt>
                <c:pt idx="26">
                  <c:v>0.33200000000000002</c:v>
                </c:pt>
                <c:pt idx="27">
                  <c:v>0.35199999999999998</c:v>
                </c:pt>
                <c:pt idx="28">
                  <c:v>0.37</c:v>
                </c:pt>
                <c:pt idx="29">
                  <c:v>0.38300000000000001</c:v>
                </c:pt>
                <c:pt idx="30">
                  <c:v>0.39</c:v>
                </c:pt>
                <c:pt idx="31">
                  <c:v>0.39400000000000002</c:v>
                </c:pt>
                <c:pt idx="32">
                  <c:v>0.39500000000000002</c:v>
                </c:pt>
                <c:pt idx="33">
                  <c:v>0.39200000000000002</c:v>
                </c:pt>
                <c:pt idx="34">
                  <c:v>0.38500000000000001</c:v>
                </c:pt>
                <c:pt idx="35">
                  <c:v>0.377</c:v>
                </c:pt>
                <c:pt idx="36">
                  <c:v>0.36699999999999999</c:v>
                </c:pt>
                <c:pt idx="37">
                  <c:v>0.35399999999999998</c:v>
                </c:pt>
                <c:pt idx="38">
                  <c:v>0.34100000000000003</c:v>
                </c:pt>
                <c:pt idx="39">
                  <c:v>0.32700000000000001</c:v>
                </c:pt>
                <c:pt idx="40">
                  <c:v>0.312</c:v>
                </c:pt>
                <c:pt idx="41">
                  <c:v>0.29599999999999999</c:v>
                </c:pt>
                <c:pt idx="42">
                  <c:v>0.28000000000000003</c:v>
                </c:pt>
                <c:pt idx="43">
                  <c:v>0.26300000000000001</c:v>
                </c:pt>
                <c:pt idx="44">
                  <c:v>0.247</c:v>
                </c:pt>
                <c:pt idx="45">
                  <c:v>0.22900000000000001</c:v>
                </c:pt>
                <c:pt idx="46">
                  <c:v>0.214</c:v>
                </c:pt>
                <c:pt idx="47">
                  <c:v>0.19800000000000001</c:v>
                </c:pt>
                <c:pt idx="48">
                  <c:v>0.185</c:v>
                </c:pt>
                <c:pt idx="49">
                  <c:v>0.17499999999999999</c:v>
                </c:pt>
                <c:pt idx="50">
                  <c:v>0.16900000000000001</c:v>
                </c:pt>
                <c:pt idx="51">
                  <c:v>0.16400000000000001</c:v>
                </c:pt>
                <c:pt idx="52">
                  <c:v>0.16</c:v>
                </c:pt>
                <c:pt idx="53">
                  <c:v>0.156</c:v>
                </c:pt>
                <c:pt idx="54">
                  <c:v>0.154</c:v>
                </c:pt>
                <c:pt idx="55">
                  <c:v>0.152</c:v>
                </c:pt>
                <c:pt idx="56">
                  <c:v>0.151</c:v>
                </c:pt>
                <c:pt idx="57">
                  <c:v>0.14899999999999999</c:v>
                </c:pt>
                <c:pt idx="58">
                  <c:v>0.14799999999999999</c:v>
                </c:pt>
                <c:pt idx="59">
                  <c:v>0.14799999999999999</c:v>
                </c:pt>
                <c:pt idx="60">
                  <c:v>0.14799999999999999</c:v>
                </c:pt>
                <c:pt idx="61">
                  <c:v>0.14899999999999999</c:v>
                </c:pt>
                <c:pt idx="62">
                  <c:v>0.151</c:v>
                </c:pt>
                <c:pt idx="63">
                  <c:v>0.154</c:v>
                </c:pt>
                <c:pt idx="64">
                  <c:v>0.158</c:v>
                </c:pt>
                <c:pt idx="65">
                  <c:v>0.16200000000000001</c:v>
                </c:pt>
                <c:pt idx="66">
                  <c:v>0.16500000000000001</c:v>
                </c:pt>
                <c:pt idx="67">
                  <c:v>0.16800000000000001</c:v>
                </c:pt>
                <c:pt idx="68">
                  <c:v>0.17</c:v>
                </c:pt>
                <c:pt idx="69">
                  <c:v>0.17100000000000001</c:v>
                </c:pt>
                <c:pt idx="70">
                  <c:v>0.17</c:v>
                </c:pt>
                <c:pt idx="71">
                  <c:v>0.16800000000000001</c:v>
                </c:pt>
                <c:pt idx="72">
                  <c:v>0.16600000000000001</c:v>
                </c:pt>
                <c:pt idx="73">
                  <c:v>0.16400000000000001</c:v>
                </c:pt>
                <c:pt idx="74">
                  <c:v>0.16400000000000001</c:v>
                </c:pt>
                <c:pt idx="75">
                  <c:v>0.16500000000000001</c:v>
                </c:pt>
                <c:pt idx="76">
                  <c:v>0.16800000000000001</c:v>
                </c:pt>
                <c:pt idx="77">
                  <c:v>0.17199999999999999</c:v>
                </c:pt>
                <c:pt idx="78">
                  <c:v>0.17699999999999999</c:v>
                </c:pt>
                <c:pt idx="79">
                  <c:v>0.18099999999999999</c:v>
                </c:pt>
                <c:pt idx="80">
                  <c:v>0.185</c:v>
                </c:pt>
                <c:pt idx="81">
                  <c:v>0.189</c:v>
                </c:pt>
                <c:pt idx="82">
                  <c:v>0.192</c:v>
                </c:pt>
                <c:pt idx="83">
                  <c:v>0.19400000000000001</c:v>
                </c:pt>
                <c:pt idx="84">
                  <c:v>0.19700000000000001</c:v>
                </c:pt>
                <c:pt idx="85">
                  <c:v>0.2</c:v>
                </c:pt>
                <c:pt idx="86">
                  <c:v>0.20399999999999999</c:v>
                </c:pt>
                <c:pt idx="87">
                  <c:v>0.21</c:v>
                </c:pt>
                <c:pt idx="88">
                  <c:v>0.218</c:v>
                </c:pt>
                <c:pt idx="89">
                  <c:v>0.22500000000000001</c:v>
                </c:pt>
                <c:pt idx="90">
                  <c:v>0.23300000000000001</c:v>
                </c:pt>
                <c:pt idx="91">
                  <c:v>0.24299999999999999</c:v>
                </c:pt>
                <c:pt idx="92">
                  <c:v>0.254</c:v>
                </c:pt>
                <c:pt idx="93">
                  <c:v>0.26400000000000001</c:v>
                </c:pt>
                <c:pt idx="94">
                  <c:v>0.27400000000000002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'Sample data'!$F$4</c:f>
              <c:strCache>
                <c:ptCount val="1"/>
                <c:pt idx="0">
                  <c:v>TCS05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data'!$F$5:$F$99</c:f>
              <c:numCache>
                <c:formatCode>General</c:formatCode>
                <c:ptCount val="95"/>
                <c:pt idx="0">
                  <c:v>0.14299999999999999</c:v>
                </c:pt>
                <c:pt idx="1">
                  <c:v>0.187</c:v>
                </c:pt>
                <c:pt idx="2">
                  <c:v>0.23300000000000001</c:v>
                </c:pt>
                <c:pt idx="3">
                  <c:v>0.26900000000000002</c:v>
                </c:pt>
                <c:pt idx="4">
                  <c:v>0.29499999999999998</c:v>
                </c:pt>
                <c:pt idx="5">
                  <c:v>0.30599999999999999</c:v>
                </c:pt>
                <c:pt idx="6">
                  <c:v>0.31</c:v>
                </c:pt>
                <c:pt idx="7">
                  <c:v>0.312</c:v>
                </c:pt>
                <c:pt idx="8">
                  <c:v>0.313</c:v>
                </c:pt>
                <c:pt idx="9">
                  <c:v>0.315</c:v>
                </c:pt>
                <c:pt idx="10">
                  <c:v>0.31900000000000001</c:v>
                </c:pt>
                <c:pt idx="11">
                  <c:v>0.32200000000000001</c:v>
                </c:pt>
                <c:pt idx="12">
                  <c:v>0.32600000000000001</c:v>
                </c:pt>
                <c:pt idx="13">
                  <c:v>0.33</c:v>
                </c:pt>
                <c:pt idx="14">
                  <c:v>0.33400000000000002</c:v>
                </c:pt>
                <c:pt idx="15">
                  <c:v>0.33900000000000002</c:v>
                </c:pt>
                <c:pt idx="16">
                  <c:v>0.34599999999999997</c:v>
                </c:pt>
                <c:pt idx="17">
                  <c:v>0.35199999999999998</c:v>
                </c:pt>
                <c:pt idx="18">
                  <c:v>0.36</c:v>
                </c:pt>
                <c:pt idx="19">
                  <c:v>0.36899999999999999</c:v>
                </c:pt>
                <c:pt idx="20">
                  <c:v>0.38100000000000001</c:v>
                </c:pt>
                <c:pt idx="21">
                  <c:v>0.39400000000000002</c:v>
                </c:pt>
                <c:pt idx="22">
                  <c:v>0.40300000000000002</c:v>
                </c:pt>
                <c:pt idx="23">
                  <c:v>0.41</c:v>
                </c:pt>
                <c:pt idx="24">
                  <c:v>0.41499999999999998</c:v>
                </c:pt>
                <c:pt idx="25">
                  <c:v>0.41799999999999998</c:v>
                </c:pt>
                <c:pt idx="26">
                  <c:v>0.41899999999999998</c:v>
                </c:pt>
                <c:pt idx="27">
                  <c:v>0.41699999999999998</c:v>
                </c:pt>
                <c:pt idx="28">
                  <c:v>0.41299999999999998</c:v>
                </c:pt>
                <c:pt idx="29">
                  <c:v>0.40899999999999997</c:v>
                </c:pt>
                <c:pt idx="30">
                  <c:v>0.40300000000000002</c:v>
                </c:pt>
                <c:pt idx="31">
                  <c:v>0.39600000000000002</c:v>
                </c:pt>
                <c:pt idx="32">
                  <c:v>0.38900000000000001</c:v>
                </c:pt>
                <c:pt idx="33">
                  <c:v>0.38100000000000001</c:v>
                </c:pt>
                <c:pt idx="34">
                  <c:v>0.372</c:v>
                </c:pt>
                <c:pt idx="35">
                  <c:v>0.36299999999999999</c:v>
                </c:pt>
                <c:pt idx="36">
                  <c:v>0.35299999999999998</c:v>
                </c:pt>
                <c:pt idx="37">
                  <c:v>0.34200000000000003</c:v>
                </c:pt>
                <c:pt idx="38">
                  <c:v>0.33100000000000002</c:v>
                </c:pt>
                <c:pt idx="39">
                  <c:v>0.32</c:v>
                </c:pt>
                <c:pt idx="40">
                  <c:v>0.308</c:v>
                </c:pt>
                <c:pt idx="41">
                  <c:v>0.29599999999999999</c:v>
                </c:pt>
                <c:pt idx="42">
                  <c:v>0.28399999999999997</c:v>
                </c:pt>
                <c:pt idx="43">
                  <c:v>0.27100000000000002</c:v>
                </c:pt>
                <c:pt idx="44">
                  <c:v>0.26</c:v>
                </c:pt>
                <c:pt idx="45">
                  <c:v>0.247</c:v>
                </c:pt>
                <c:pt idx="46">
                  <c:v>0.23200000000000001</c:v>
                </c:pt>
                <c:pt idx="47">
                  <c:v>0.22</c:v>
                </c:pt>
                <c:pt idx="48">
                  <c:v>0.21</c:v>
                </c:pt>
                <c:pt idx="49">
                  <c:v>0.2</c:v>
                </c:pt>
                <c:pt idx="50">
                  <c:v>0.19400000000000001</c:v>
                </c:pt>
                <c:pt idx="51">
                  <c:v>0.189</c:v>
                </c:pt>
                <c:pt idx="52">
                  <c:v>0.185</c:v>
                </c:pt>
                <c:pt idx="53">
                  <c:v>0.183</c:v>
                </c:pt>
                <c:pt idx="54">
                  <c:v>0.18</c:v>
                </c:pt>
                <c:pt idx="55">
                  <c:v>0.17699999999999999</c:v>
                </c:pt>
                <c:pt idx="56">
                  <c:v>0.17599999999999999</c:v>
                </c:pt>
                <c:pt idx="57">
                  <c:v>0.17499999999999999</c:v>
                </c:pt>
                <c:pt idx="58">
                  <c:v>0.17499999999999999</c:v>
                </c:pt>
                <c:pt idx="59">
                  <c:v>0.17499999999999999</c:v>
                </c:pt>
                <c:pt idx="60">
                  <c:v>0.17499999999999999</c:v>
                </c:pt>
                <c:pt idx="61">
                  <c:v>0.17699999999999999</c:v>
                </c:pt>
                <c:pt idx="62">
                  <c:v>0.18</c:v>
                </c:pt>
                <c:pt idx="63">
                  <c:v>0.183</c:v>
                </c:pt>
                <c:pt idx="64">
                  <c:v>0.186</c:v>
                </c:pt>
                <c:pt idx="65">
                  <c:v>0.189</c:v>
                </c:pt>
                <c:pt idx="66">
                  <c:v>0.192</c:v>
                </c:pt>
                <c:pt idx="67">
                  <c:v>0.19500000000000001</c:v>
                </c:pt>
                <c:pt idx="68">
                  <c:v>0.19900000000000001</c:v>
                </c:pt>
                <c:pt idx="69">
                  <c:v>0.2</c:v>
                </c:pt>
                <c:pt idx="70">
                  <c:v>0.19900000000000001</c:v>
                </c:pt>
                <c:pt idx="71">
                  <c:v>0.19800000000000001</c:v>
                </c:pt>
                <c:pt idx="72">
                  <c:v>0.19600000000000001</c:v>
                </c:pt>
                <c:pt idx="73">
                  <c:v>0.19500000000000001</c:v>
                </c:pt>
                <c:pt idx="74">
                  <c:v>0.19500000000000001</c:v>
                </c:pt>
                <c:pt idx="75">
                  <c:v>0.19600000000000001</c:v>
                </c:pt>
                <c:pt idx="76">
                  <c:v>0.19700000000000001</c:v>
                </c:pt>
                <c:pt idx="77">
                  <c:v>0.2</c:v>
                </c:pt>
                <c:pt idx="78">
                  <c:v>0.20300000000000001</c:v>
                </c:pt>
                <c:pt idx="79">
                  <c:v>0.20499999999999999</c:v>
                </c:pt>
                <c:pt idx="80">
                  <c:v>0.20799999999999999</c:v>
                </c:pt>
                <c:pt idx="81">
                  <c:v>0.21199999999999999</c:v>
                </c:pt>
                <c:pt idx="82">
                  <c:v>0.215</c:v>
                </c:pt>
                <c:pt idx="83">
                  <c:v>0.217</c:v>
                </c:pt>
                <c:pt idx="84">
                  <c:v>0.219</c:v>
                </c:pt>
                <c:pt idx="85">
                  <c:v>0.222</c:v>
                </c:pt>
                <c:pt idx="86">
                  <c:v>0.22600000000000001</c:v>
                </c:pt>
                <c:pt idx="87">
                  <c:v>0.23100000000000001</c:v>
                </c:pt>
                <c:pt idx="88">
                  <c:v>0.23699999999999999</c:v>
                </c:pt>
                <c:pt idx="89">
                  <c:v>0.24299999999999999</c:v>
                </c:pt>
                <c:pt idx="90">
                  <c:v>0.249</c:v>
                </c:pt>
                <c:pt idx="91">
                  <c:v>0.25700000000000001</c:v>
                </c:pt>
                <c:pt idx="92">
                  <c:v>0.26500000000000001</c:v>
                </c:pt>
                <c:pt idx="93">
                  <c:v>0.27300000000000002</c:v>
                </c:pt>
                <c:pt idx="94">
                  <c:v>0.28000000000000003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'Sample data'!$G$4</c:f>
              <c:strCache>
                <c:ptCount val="1"/>
                <c:pt idx="0">
                  <c:v>TCS06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data'!$G$5:$G$99</c:f>
              <c:numCache>
                <c:formatCode>General</c:formatCode>
                <c:ptCount val="95"/>
                <c:pt idx="0">
                  <c:v>7.9000000000000001E-2</c:v>
                </c:pt>
                <c:pt idx="1">
                  <c:v>8.1000000000000003E-2</c:v>
                </c:pt>
                <c:pt idx="2">
                  <c:v>8.8999999999999996E-2</c:v>
                </c:pt>
                <c:pt idx="3">
                  <c:v>0.113</c:v>
                </c:pt>
                <c:pt idx="4">
                  <c:v>0.151</c:v>
                </c:pt>
                <c:pt idx="5">
                  <c:v>0.20300000000000001</c:v>
                </c:pt>
                <c:pt idx="6">
                  <c:v>0.26500000000000001</c:v>
                </c:pt>
                <c:pt idx="7">
                  <c:v>0.33900000000000002</c:v>
                </c:pt>
                <c:pt idx="8">
                  <c:v>0.41</c:v>
                </c:pt>
                <c:pt idx="9">
                  <c:v>0.46400000000000002</c:v>
                </c:pt>
                <c:pt idx="10">
                  <c:v>0.49199999999999999</c:v>
                </c:pt>
                <c:pt idx="11">
                  <c:v>0.50800000000000001</c:v>
                </c:pt>
                <c:pt idx="12">
                  <c:v>0.51700000000000002</c:v>
                </c:pt>
                <c:pt idx="13">
                  <c:v>0.52400000000000002</c:v>
                </c:pt>
                <c:pt idx="14">
                  <c:v>0.53100000000000003</c:v>
                </c:pt>
                <c:pt idx="15">
                  <c:v>0.53800000000000003</c:v>
                </c:pt>
                <c:pt idx="16">
                  <c:v>0.54400000000000004</c:v>
                </c:pt>
                <c:pt idx="17">
                  <c:v>0.55100000000000005</c:v>
                </c:pt>
                <c:pt idx="18">
                  <c:v>0.55600000000000005</c:v>
                </c:pt>
                <c:pt idx="19">
                  <c:v>0.55600000000000005</c:v>
                </c:pt>
                <c:pt idx="20">
                  <c:v>0.55400000000000005</c:v>
                </c:pt>
                <c:pt idx="21">
                  <c:v>0.54900000000000004</c:v>
                </c:pt>
                <c:pt idx="22">
                  <c:v>0.54100000000000004</c:v>
                </c:pt>
                <c:pt idx="23">
                  <c:v>0.53100000000000003</c:v>
                </c:pt>
                <c:pt idx="24">
                  <c:v>0.51900000000000002</c:v>
                </c:pt>
                <c:pt idx="25">
                  <c:v>0.504</c:v>
                </c:pt>
                <c:pt idx="26">
                  <c:v>0.48799999999999999</c:v>
                </c:pt>
                <c:pt idx="27">
                  <c:v>0.46899999999999997</c:v>
                </c:pt>
                <c:pt idx="28">
                  <c:v>0.45</c:v>
                </c:pt>
                <c:pt idx="29">
                  <c:v>0.43099999999999999</c:v>
                </c:pt>
                <c:pt idx="30">
                  <c:v>0.41399999999999998</c:v>
                </c:pt>
                <c:pt idx="31">
                  <c:v>0.39500000000000002</c:v>
                </c:pt>
                <c:pt idx="32">
                  <c:v>0.377</c:v>
                </c:pt>
                <c:pt idx="33">
                  <c:v>0.35799999999999998</c:v>
                </c:pt>
                <c:pt idx="34">
                  <c:v>0.34100000000000003</c:v>
                </c:pt>
                <c:pt idx="35">
                  <c:v>0.32500000000000001</c:v>
                </c:pt>
                <c:pt idx="36">
                  <c:v>0.309</c:v>
                </c:pt>
                <c:pt idx="37">
                  <c:v>0.29299999999999998</c:v>
                </c:pt>
                <c:pt idx="38">
                  <c:v>0.27900000000000003</c:v>
                </c:pt>
                <c:pt idx="39">
                  <c:v>0.26500000000000001</c:v>
                </c:pt>
                <c:pt idx="40">
                  <c:v>0.253</c:v>
                </c:pt>
                <c:pt idx="41">
                  <c:v>0.24099999999999999</c:v>
                </c:pt>
                <c:pt idx="42">
                  <c:v>0.23400000000000001</c:v>
                </c:pt>
                <c:pt idx="43">
                  <c:v>0.22700000000000001</c:v>
                </c:pt>
                <c:pt idx="44">
                  <c:v>0.22500000000000001</c:v>
                </c:pt>
                <c:pt idx="45">
                  <c:v>0.222</c:v>
                </c:pt>
                <c:pt idx="46">
                  <c:v>0.221</c:v>
                </c:pt>
                <c:pt idx="47">
                  <c:v>0.22</c:v>
                </c:pt>
                <c:pt idx="48">
                  <c:v>0.22</c:v>
                </c:pt>
                <c:pt idx="49">
                  <c:v>0.22</c:v>
                </c:pt>
                <c:pt idx="50">
                  <c:v>0.22</c:v>
                </c:pt>
                <c:pt idx="51">
                  <c:v>0.22</c:v>
                </c:pt>
                <c:pt idx="52">
                  <c:v>0.223</c:v>
                </c:pt>
                <c:pt idx="53">
                  <c:v>0.22700000000000001</c:v>
                </c:pt>
                <c:pt idx="54">
                  <c:v>0.23300000000000001</c:v>
                </c:pt>
                <c:pt idx="55">
                  <c:v>0.23899999999999999</c:v>
                </c:pt>
                <c:pt idx="56">
                  <c:v>0.24399999999999999</c:v>
                </c:pt>
                <c:pt idx="57">
                  <c:v>0.251</c:v>
                </c:pt>
                <c:pt idx="58">
                  <c:v>0.25800000000000001</c:v>
                </c:pt>
                <c:pt idx="59">
                  <c:v>0.26300000000000001</c:v>
                </c:pt>
                <c:pt idx="60">
                  <c:v>0.26800000000000002</c:v>
                </c:pt>
                <c:pt idx="61">
                  <c:v>0.27300000000000002</c:v>
                </c:pt>
                <c:pt idx="62">
                  <c:v>0.27800000000000002</c:v>
                </c:pt>
                <c:pt idx="63">
                  <c:v>0.28100000000000003</c:v>
                </c:pt>
                <c:pt idx="64">
                  <c:v>0.28299999999999997</c:v>
                </c:pt>
                <c:pt idx="65">
                  <c:v>0.28599999999999998</c:v>
                </c:pt>
                <c:pt idx="66">
                  <c:v>0.29099999999999998</c:v>
                </c:pt>
                <c:pt idx="67">
                  <c:v>0.29599999999999999</c:v>
                </c:pt>
                <c:pt idx="68">
                  <c:v>0.30199999999999999</c:v>
                </c:pt>
                <c:pt idx="69">
                  <c:v>0.313</c:v>
                </c:pt>
                <c:pt idx="70">
                  <c:v>0.32500000000000001</c:v>
                </c:pt>
                <c:pt idx="71">
                  <c:v>0.33800000000000002</c:v>
                </c:pt>
                <c:pt idx="72">
                  <c:v>0.35099999999999998</c:v>
                </c:pt>
                <c:pt idx="73">
                  <c:v>0.36399999999999999</c:v>
                </c:pt>
                <c:pt idx="74">
                  <c:v>0.376</c:v>
                </c:pt>
                <c:pt idx="75">
                  <c:v>0.38900000000000001</c:v>
                </c:pt>
                <c:pt idx="76">
                  <c:v>0.40100000000000002</c:v>
                </c:pt>
                <c:pt idx="77">
                  <c:v>0.41299999999999998</c:v>
                </c:pt>
                <c:pt idx="78">
                  <c:v>0.42499999999999999</c:v>
                </c:pt>
                <c:pt idx="79">
                  <c:v>0.436</c:v>
                </c:pt>
                <c:pt idx="80">
                  <c:v>0.44700000000000001</c:v>
                </c:pt>
                <c:pt idx="81">
                  <c:v>0.45800000000000002</c:v>
                </c:pt>
                <c:pt idx="82">
                  <c:v>0.46899999999999997</c:v>
                </c:pt>
                <c:pt idx="83">
                  <c:v>0.47699999999999998</c:v>
                </c:pt>
                <c:pt idx="84">
                  <c:v>0.48499999999999999</c:v>
                </c:pt>
                <c:pt idx="85">
                  <c:v>0.49299999999999999</c:v>
                </c:pt>
                <c:pt idx="86">
                  <c:v>0.5</c:v>
                </c:pt>
                <c:pt idx="87">
                  <c:v>0.50600000000000001</c:v>
                </c:pt>
                <c:pt idx="88">
                  <c:v>0.51200000000000001</c:v>
                </c:pt>
                <c:pt idx="89">
                  <c:v>0.51700000000000002</c:v>
                </c:pt>
                <c:pt idx="90">
                  <c:v>0.52100000000000002</c:v>
                </c:pt>
                <c:pt idx="91">
                  <c:v>0.52500000000000002</c:v>
                </c:pt>
                <c:pt idx="92">
                  <c:v>0.52900000000000003</c:v>
                </c:pt>
                <c:pt idx="93">
                  <c:v>0.53200000000000003</c:v>
                </c:pt>
                <c:pt idx="94">
                  <c:v>0.53500000000000003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'Sample data'!$H$4</c:f>
              <c:strCache>
                <c:ptCount val="1"/>
                <c:pt idx="0">
                  <c:v>TCS07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data'!$H$5:$H$99</c:f>
              <c:numCache>
                <c:formatCode>General</c:formatCode>
                <c:ptCount val="95"/>
                <c:pt idx="0">
                  <c:v>0.15</c:v>
                </c:pt>
                <c:pt idx="1">
                  <c:v>0.17699999999999999</c:v>
                </c:pt>
                <c:pt idx="2">
                  <c:v>0.218</c:v>
                </c:pt>
                <c:pt idx="3">
                  <c:v>0.29299999999999998</c:v>
                </c:pt>
                <c:pt idx="4">
                  <c:v>0.378</c:v>
                </c:pt>
                <c:pt idx="5">
                  <c:v>0.45900000000000002</c:v>
                </c:pt>
                <c:pt idx="6">
                  <c:v>0.52400000000000002</c:v>
                </c:pt>
                <c:pt idx="7">
                  <c:v>0.54600000000000004</c:v>
                </c:pt>
                <c:pt idx="8">
                  <c:v>0.55100000000000005</c:v>
                </c:pt>
                <c:pt idx="9">
                  <c:v>0.55500000000000005</c:v>
                </c:pt>
                <c:pt idx="10">
                  <c:v>0.55900000000000005</c:v>
                </c:pt>
                <c:pt idx="11">
                  <c:v>0.56000000000000005</c:v>
                </c:pt>
                <c:pt idx="12">
                  <c:v>0.56100000000000005</c:v>
                </c:pt>
                <c:pt idx="13">
                  <c:v>0.55800000000000005</c:v>
                </c:pt>
                <c:pt idx="14">
                  <c:v>0.55600000000000005</c:v>
                </c:pt>
                <c:pt idx="15">
                  <c:v>0.55100000000000005</c:v>
                </c:pt>
                <c:pt idx="16">
                  <c:v>0.54400000000000004</c:v>
                </c:pt>
                <c:pt idx="17">
                  <c:v>0.53500000000000003</c:v>
                </c:pt>
                <c:pt idx="18">
                  <c:v>0.52200000000000002</c:v>
                </c:pt>
                <c:pt idx="19">
                  <c:v>0.50600000000000001</c:v>
                </c:pt>
                <c:pt idx="20">
                  <c:v>0.48799999999999999</c:v>
                </c:pt>
                <c:pt idx="21">
                  <c:v>0.46899999999999997</c:v>
                </c:pt>
                <c:pt idx="22">
                  <c:v>0.44800000000000001</c:v>
                </c:pt>
                <c:pt idx="23">
                  <c:v>0.42899999999999999</c:v>
                </c:pt>
                <c:pt idx="24">
                  <c:v>0.40799999999999997</c:v>
                </c:pt>
                <c:pt idx="25">
                  <c:v>0.38500000000000001</c:v>
                </c:pt>
                <c:pt idx="26">
                  <c:v>0.36299999999999999</c:v>
                </c:pt>
                <c:pt idx="27">
                  <c:v>0.34100000000000003</c:v>
                </c:pt>
                <c:pt idx="28">
                  <c:v>0.32400000000000001</c:v>
                </c:pt>
                <c:pt idx="29">
                  <c:v>0.311</c:v>
                </c:pt>
                <c:pt idx="30">
                  <c:v>0.30099999999999999</c:v>
                </c:pt>
                <c:pt idx="31">
                  <c:v>0.29099999999999998</c:v>
                </c:pt>
                <c:pt idx="32">
                  <c:v>0.28299999999999997</c:v>
                </c:pt>
                <c:pt idx="33">
                  <c:v>0.27300000000000002</c:v>
                </c:pt>
                <c:pt idx="34">
                  <c:v>0.26500000000000001</c:v>
                </c:pt>
                <c:pt idx="35">
                  <c:v>0.26</c:v>
                </c:pt>
                <c:pt idx="36">
                  <c:v>0.25700000000000001</c:v>
                </c:pt>
                <c:pt idx="37">
                  <c:v>0.25700000000000001</c:v>
                </c:pt>
                <c:pt idx="38">
                  <c:v>0.25900000000000001</c:v>
                </c:pt>
                <c:pt idx="39">
                  <c:v>0.26</c:v>
                </c:pt>
                <c:pt idx="40">
                  <c:v>0.26</c:v>
                </c:pt>
                <c:pt idx="41">
                  <c:v>0.25800000000000001</c:v>
                </c:pt>
                <c:pt idx="42">
                  <c:v>0.25600000000000001</c:v>
                </c:pt>
                <c:pt idx="43">
                  <c:v>0.254</c:v>
                </c:pt>
                <c:pt idx="44">
                  <c:v>0.254</c:v>
                </c:pt>
                <c:pt idx="45">
                  <c:v>0.25900000000000001</c:v>
                </c:pt>
                <c:pt idx="46">
                  <c:v>0.27</c:v>
                </c:pt>
                <c:pt idx="47">
                  <c:v>0.28399999999999997</c:v>
                </c:pt>
                <c:pt idx="48">
                  <c:v>0.30199999999999999</c:v>
                </c:pt>
                <c:pt idx="49">
                  <c:v>0.32400000000000001</c:v>
                </c:pt>
                <c:pt idx="50">
                  <c:v>0.34399999999999997</c:v>
                </c:pt>
                <c:pt idx="51">
                  <c:v>0.36199999999999999</c:v>
                </c:pt>
                <c:pt idx="52">
                  <c:v>0.377</c:v>
                </c:pt>
                <c:pt idx="53">
                  <c:v>0.38900000000000001</c:v>
                </c:pt>
                <c:pt idx="54">
                  <c:v>0.4</c:v>
                </c:pt>
                <c:pt idx="55">
                  <c:v>0.41</c:v>
                </c:pt>
                <c:pt idx="56">
                  <c:v>0.42</c:v>
                </c:pt>
                <c:pt idx="57">
                  <c:v>0.42899999999999999</c:v>
                </c:pt>
                <c:pt idx="58">
                  <c:v>0.438</c:v>
                </c:pt>
                <c:pt idx="59">
                  <c:v>0.44500000000000001</c:v>
                </c:pt>
                <c:pt idx="60">
                  <c:v>0.45200000000000001</c:v>
                </c:pt>
                <c:pt idx="61">
                  <c:v>0.45700000000000002</c:v>
                </c:pt>
                <c:pt idx="62">
                  <c:v>0.46200000000000002</c:v>
                </c:pt>
                <c:pt idx="63">
                  <c:v>0.46600000000000003</c:v>
                </c:pt>
                <c:pt idx="64">
                  <c:v>0.46800000000000003</c:v>
                </c:pt>
                <c:pt idx="65">
                  <c:v>0.47</c:v>
                </c:pt>
                <c:pt idx="66">
                  <c:v>0.47299999999999998</c:v>
                </c:pt>
                <c:pt idx="67">
                  <c:v>0.47699999999999998</c:v>
                </c:pt>
                <c:pt idx="68">
                  <c:v>0.48299999999999998</c:v>
                </c:pt>
                <c:pt idx="69">
                  <c:v>0.48899999999999999</c:v>
                </c:pt>
                <c:pt idx="70">
                  <c:v>0.496</c:v>
                </c:pt>
                <c:pt idx="71">
                  <c:v>0.503</c:v>
                </c:pt>
                <c:pt idx="72">
                  <c:v>0.51100000000000001</c:v>
                </c:pt>
                <c:pt idx="73">
                  <c:v>0.51800000000000002</c:v>
                </c:pt>
                <c:pt idx="74">
                  <c:v>0.52500000000000002</c:v>
                </c:pt>
                <c:pt idx="75">
                  <c:v>0.53200000000000003</c:v>
                </c:pt>
                <c:pt idx="76">
                  <c:v>0.53900000000000003</c:v>
                </c:pt>
                <c:pt idx="77">
                  <c:v>0.54600000000000004</c:v>
                </c:pt>
                <c:pt idx="78">
                  <c:v>0.55300000000000005</c:v>
                </c:pt>
                <c:pt idx="79">
                  <c:v>0.55900000000000005</c:v>
                </c:pt>
                <c:pt idx="80">
                  <c:v>0.56499999999999995</c:v>
                </c:pt>
                <c:pt idx="81">
                  <c:v>0.56999999999999995</c:v>
                </c:pt>
                <c:pt idx="82">
                  <c:v>0.57499999999999996</c:v>
                </c:pt>
                <c:pt idx="83">
                  <c:v>0.57799999999999996</c:v>
                </c:pt>
                <c:pt idx="84">
                  <c:v>0.58099999999999996</c:v>
                </c:pt>
                <c:pt idx="85">
                  <c:v>0.58299999999999996</c:v>
                </c:pt>
                <c:pt idx="86">
                  <c:v>0.58499999999999996</c:v>
                </c:pt>
                <c:pt idx="87">
                  <c:v>0.58699999999999997</c:v>
                </c:pt>
                <c:pt idx="88">
                  <c:v>0.58799999999999997</c:v>
                </c:pt>
                <c:pt idx="89">
                  <c:v>0.58899999999999997</c:v>
                </c:pt>
                <c:pt idx="90">
                  <c:v>0.59</c:v>
                </c:pt>
                <c:pt idx="91">
                  <c:v>0.59</c:v>
                </c:pt>
                <c:pt idx="92">
                  <c:v>0.59</c:v>
                </c:pt>
                <c:pt idx="93">
                  <c:v>0.59099999999999997</c:v>
                </c:pt>
                <c:pt idx="94">
                  <c:v>0.59199999999999997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'Sample data'!$I$4</c:f>
              <c:strCache>
                <c:ptCount val="1"/>
                <c:pt idx="0">
                  <c:v>TCS08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data'!$I$5:$I$99</c:f>
              <c:numCache>
                <c:formatCode>General</c:formatCode>
                <c:ptCount val="95"/>
                <c:pt idx="0">
                  <c:v>7.4999999999999997E-2</c:v>
                </c:pt>
                <c:pt idx="1">
                  <c:v>7.8E-2</c:v>
                </c:pt>
                <c:pt idx="2">
                  <c:v>8.4000000000000005E-2</c:v>
                </c:pt>
                <c:pt idx="3">
                  <c:v>0.09</c:v>
                </c:pt>
                <c:pt idx="4">
                  <c:v>0.104</c:v>
                </c:pt>
                <c:pt idx="5">
                  <c:v>0.129</c:v>
                </c:pt>
                <c:pt idx="6">
                  <c:v>0.17</c:v>
                </c:pt>
                <c:pt idx="7">
                  <c:v>0.24</c:v>
                </c:pt>
                <c:pt idx="8">
                  <c:v>0.31900000000000001</c:v>
                </c:pt>
                <c:pt idx="9">
                  <c:v>0.41599999999999998</c:v>
                </c:pt>
                <c:pt idx="10">
                  <c:v>0.46200000000000002</c:v>
                </c:pt>
                <c:pt idx="11">
                  <c:v>0.48199999999999998</c:v>
                </c:pt>
                <c:pt idx="12">
                  <c:v>0.49</c:v>
                </c:pt>
                <c:pt idx="13">
                  <c:v>0.48799999999999999</c:v>
                </c:pt>
                <c:pt idx="14">
                  <c:v>0.48199999999999998</c:v>
                </c:pt>
                <c:pt idx="15">
                  <c:v>0.47299999999999998</c:v>
                </c:pt>
                <c:pt idx="16">
                  <c:v>0.46200000000000002</c:v>
                </c:pt>
                <c:pt idx="17">
                  <c:v>0.45</c:v>
                </c:pt>
                <c:pt idx="18">
                  <c:v>0.439</c:v>
                </c:pt>
                <c:pt idx="19">
                  <c:v>0.42599999999999999</c:v>
                </c:pt>
                <c:pt idx="20">
                  <c:v>0.41299999999999998</c:v>
                </c:pt>
                <c:pt idx="21">
                  <c:v>0.39700000000000002</c:v>
                </c:pt>
                <c:pt idx="22">
                  <c:v>0.38200000000000001</c:v>
                </c:pt>
                <c:pt idx="23">
                  <c:v>0.36599999999999999</c:v>
                </c:pt>
                <c:pt idx="24">
                  <c:v>0.35199999999999998</c:v>
                </c:pt>
                <c:pt idx="25">
                  <c:v>0.33700000000000002</c:v>
                </c:pt>
                <c:pt idx="26">
                  <c:v>0.32500000000000001</c:v>
                </c:pt>
                <c:pt idx="27">
                  <c:v>0.31</c:v>
                </c:pt>
                <c:pt idx="28">
                  <c:v>0.29899999999999999</c:v>
                </c:pt>
                <c:pt idx="29">
                  <c:v>0.28899999999999998</c:v>
                </c:pt>
                <c:pt idx="30">
                  <c:v>0.28299999999999997</c:v>
                </c:pt>
                <c:pt idx="31">
                  <c:v>0.27600000000000002</c:v>
                </c:pt>
                <c:pt idx="32">
                  <c:v>0.27</c:v>
                </c:pt>
                <c:pt idx="33">
                  <c:v>0.26200000000000001</c:v>
                </c:pt>
                <c:pt idx="34">
                  <c:v>0.25600000000000001</c:v>
                </c:pt>
                <c:pt idx="35">
                  <c:v>0.251</c:v>
                </c:pt>
                <c:pt idx="36">
                  <c:v>0.25</c:v>
                </c:pt>
                <c:pt idx="37">
                  <c:v>0.251</c:v>
                </c:pt>
                <c:pt idx="38">
                  <c:v>0.254</c:v>
                </c:pt>
                <c:pt idx="39">
                  <c:v>0.25800000000000001</c:v>
                </c:pt>
                <c:pt idx="40">
                  <c:v>0.26400000000000001</c:v>
                </c:pt>
                <c:pt idx="41">
                  <c:v>0.26900000000000002</c:v>
                </c:pt>
                <c:pt idx="42">
                  <c:v>0.27200000000000002</c:v>
                </c:pt>
                <c:pt idx="43">
                  <c:v>0.27400000000000002</c:v>
                </c:pt>
                <c:pt idx="44">
                  <c:v>0.27800000000000002</c:v>
                </c:pt>
                <c:pt idx="45">
                  <c:v>0.28399999999999997</c:v>
                </c:pt>
                <c:pt idx="46">
                  <c:v>0.29499999999999998</c:v>
                </c:pt>
                <c:pt idx="47">
                  <c:v>0.316</c:v>
                </c:pt>
                <c:pt idx="48">
                  <c:v>0.34799999999999998</c:v>
                </c:pt>
                <c:pt idx="49">
                  <c:v>0.38400000000000001</c:v>
                </c:pt>
                <c:pt idx="50">
                  <c:v>0.434</c:v>
                </c:pt>
                <c:pt idx="51">
                  <c:v>0.48199999999999998</c:v>
                </c:pt>
                <c:pt idx="52">
                  <c:v>0.52800000000000002</c:v>
                </c:pt>
                <c:pt idx="53">
                  <c:v>0.56799999999999995</c:v>
                </c:pt>
                <c:pt idx="54">
                  <c:v>0.60399999999999998</c:v>
                </c:pt>
                <c:pt idx="55">
                  <c:v>0.629</c:v>
                </c:pt>
                <c:pt idx="56">
                  <c:v>0.64800000000000002</c:v>
                </c:pt>
                <c:pt idx="57">
                  <c:v>0.66300000000000003</c:v>
                </c:pt>
                <c:pt idx="58">
                  <c:v>0.67600000000000005</c:v>
                </c:pt>
                <c:pt idx="59">
                  <c:v>0.68500000000000005</c:v>
                </c:pt>
                <c:pt idx="60">
                  <c:v>0.69299999999999995</c:v>
                </c:pt>
                <c:pt idx="61">
                  <c:v>0.7</c:v>
                </c:pt>
                <c:pt idx="62">
                  <c:v>0.70499999999999996</c:v>
                </c:pt>
                <c:pt idx="63">
                  <c:v>0.70899999999999996</c:v>
                </c:pt>
                <c:pt idx="64">
                  <c:v>0.71199999999999997</c:v>
                </c:pt>
                <c:pt idx="65">
                  <c:v>0.71499999999999997</c:v>
                </c:pt>
                <c:pt idx="66">
                  <c:v>0.71699999999999997</c:v>
                </c:pt>
                <c:pt idx="67">
                  <c:v>0.71899999999999997</c:v>
                </c:pt>
                <c:pt idx="68">
                  <c:v>0.72099999999999997</c:v>
                </c:pt>
                <c:pt idx="69">
                  <c:v>0.72</c:v>
                </c:pt>
                <c:pt idx="70">
                  <c:v>0.71899999999999997</c:v>
                </c:pt>
                <c:pt idx="71">
                  <c:v>0.72199999999999998</c:v>
                </c:pt>
                <c:pt idx="72">
                  <c:v>0.72499999999999998</c:v>
                </c:pt>
                <c:pt idx="73">
                  <c:v>0.72699999999999998</c:v>
                </c:pt>
                <c:pt idx="74">
                  <c:v>0.72899999999999998</c:v>
                </c:pt>
                <c:pt idx="75">
                  <c:v>0.73</c:v>
                </c:pt>
                <c:pt idx="76">
                  <c:v>0.73</c:v>
                </c:pt>
                <c:pt idx="77">
                  <c:v>0.73</c:v>
                </c:pt>
                <c:pt idx="78">
                  <c:v>0.73</c:v>
                </c:pt>
                <c:pt idx="79">
                  <c:v>0.73</c:v>
                </c:pt>
                <c:pt idx="80">
                  <c:v>0.73</c:v>
                </c:pt>
                <c:pt idx="81">
                  <c:v>0.73</c:v>
                </c:pt>
                <c:pt idx="82">
                  <c:v>0.73</c:v>
                </c:pt>
                <c:pt idx="83">
                  <c:v>0.73</c:v>
                </c:pt>
                <c:pt idx="84">
                  <c:v>0.73</c:v>
                </c:pt>
                <c:pt idx="85">
                  <c:v>0.73</c:v>
                </c:pt>
                <c:pt idx="86">
                  <c:v>0.73099999999999998</c:v>
                </c:pt>
                <c:pt idx="87">
                  <c:v>0.73099999999999998</c:v>
                </c:pt>
                <c:pt idx="88">
                  <c:v>0.73099999999999998</c:v>
                </c:pt>
                <c:pt idx="89">
                  <c:v>0.73099999999999998</c:v>
                </c:pt>
                <c:pt idx="90">
                  <c:v>0.73099999999999998</c:v>
                </c:pt>
                <c:pt idx="91">
                  <c:v>0.73099999999999998</c:v>
                </c:pt>
                <c:pt idx="92">
                  <c:v>0.73099999999999998</c:v>
                </c:pt>
                <c:pt idx="93">
                  <c:v>0.73099999999999998</c:v>
                </c:pt>
                <c:pt idx="94">
                  <c:v>0.73099999999999998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14904"/>
        <c:axId val="450915296"/>
      </c:scatterChart>
      <c:valAx>
        <c:axId val="450914904"/>
        <c:scaling>
          <c:orientation val="minMax"/>
          <c:max val="800"/>
          <c:min val="35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0915296"/>
        <c:crosses val="autoZero"/>
        <c:crossBetween val="midCat"/>
      </c:valAx>
      <c:valAx>
        <c:axId val="4509152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09149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189258312020467"/>
          <c:y val="6.5075921908893775E-2"/>
          <c:w val="0.11508951406649615"/>
          <c:h val="0.41865509761388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877593917905183E-2"/>
          <c:y val="6.277069545347902E-2"/>
          <c:w val="0.76530659908783527"/>
          <c:h val="0.82684157459410312"/>
        </c:manualLayout>
      </c:layout>
      <c:scatterChart>
        <c:scatterStyle val="lineMarker"/>
        <c:varyColors val="0"/>
        <c:ser>
          <c:idx val="1"/>
          <c:order val="0"/>
          <c:tx>
            <c:strRef>
              <c:f>'Sample data'!$J$4</c:f>
              <c:strCache>
                <c:ptCount val="1"/>
                <c:pt idx="0">
                  <c:v>TCS09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data'!$J$5:$J$99</c:f>
              <c:numCache>
                <c:formatCode>General</c:formatCode>
                <c:ptCount val="95"/>
                <c:pt idx="0">
                  <c:v>6.9000000000000006E-2</c:v>
                </c:pt>
                <c:pt idx="1">
                  <c:v>7.1999999999999995E-2</c:v>
                </c:pt>
                <c:pt idx="2">
                  <c:v>7.2999999999999995E-2</c:v>
                </c:pt>
                <c:pt idx="3">
                  <c:v>7.0000000000000007E-2</c:v>
                </c:pt>
                <c:pt idx="4">
                  <c:v>6.6000000000000003E-2</c:v>
                </c:pt>
                <c:pt idx="5">
                  <c:v>6.2E-2</c:v>
                </c:pt>
                <c:pt idx="6">
                  <c:v>5.8000000000000003E-2</c:v>
                </c:pt>
                <c:pt idx="7">
                  <c:v>5.5E-2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5.0999999999999997E-2</c:v>
                </c:pt>
                <c:pt idx="11">
                  <c:v>0.05</c:v>
                </c:pt>
                <c:pt idx="12">
                  <c:v>0.05</c:v>
                </c:pt>
                <c:pt idx="13">
                  <c:v>4.9000000000000002E-2</c:v>
                </c:pt>
                <c:pt idx="14">
                  <c:v>4.8000000000000001E-2</c:v>
                </c:pt>
                <c:pt idx="15">
                  <c:v>4.7E-2</c:v>
                </c:pt>
                <c:pt idx="16">
                  <c:v>4.5999999999999999E-2</c:v>
                </c:pt>
                <c:pt idx="17">
                  <c:v>4.3999999999999997E-2</c:v>
                </c:pt>
                <c:pt idx="18">
                  <c:v>4.2000000000000003E-2</c:v>
                </c:pt>
                <c:pt idx="19">
                  <c:v>4.1000000000000002E-2</c:v>
                </c:pt>
                <c:pt idx="20">
                  <c:v>3.7999999999999999E-2</c:v>
                </c:pt>
                <c:pt idx="21">
                  <c:v>3.5000000000000003E-2</c:v>
                </c:pt>
                <c:pt idx="22">
                  <c:v>3.3000000000000002E-2</c:v>
                </c:pt>
                <c:pt idx="23">
                  <c:v>3.1E-2</c:v>
                </c:pt>
                <c:pt idx="24">
                  <c:v>0.03</c:v>
                </c:pt>
                <c:pt idx="25">
                  <c:v>2.9000000000000001E-2</c:v>
                </c:pt>
                <c:pt idx="26">
                  <c:v>2.8000000000000001E-2</c:v>
                </c:pt>
                <c:pt idx="27">
                  <c:v>2.8000000000000001E-2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0.03</c:v>
                </c:pt>
                <c:pt idx="32">
                  <c:v>3.1E-2</c:v>
                </c:pt>
                <c:pt idx="33">
                  <c:v>3.1E-2</c:v>
                </c:pt>
                <c:pt idx="34">
                  <c:v>3.2000000000000001E-2</c:v>
                </c:pt>
                <c:pt idx="35">
                  <c:v>3.2000000000000001E-2</c:v>
                </c:pt>
                <c:pt idx="36">
                  <c:v>3.3000000000000002E-2</c:v>
                </c:pt>
                <c:pt idx="37">
                  <c:v>3.4000000000000002E-2</c:v>
                </c:pt>
                <c:pt idx="38">
                  <c:v>3.5000000000000003E-2</c:v>
                </c:pt>
                <c:pt idx="39">
                  <c:v>3.6999999999999998E-2</c:v>
                </c:pt>
                <c:pt idx="40">
                  <c:v>4.1000000000000002E-2</c:v>
                </c:pt>
                <c:pt idx="41">
                  <c:v>4.3999999999999997E-2</c:v>
                </c:pt>
                <c:pt idx="42">
                  <c:v>4.8000000000000001E-2</c:v>
                </c:pt>
                <c:pt idx="43">
                  <c:v>5.1999999999999998E-2</c:v>
                </c:pt>
                <c:pt idx="44">
                  <c:v>0.06</c:v>
                </c:pt>
                <c:pt idx="45">
                  <c:v>7.5999999999999998E-2</c:v>
                </c:pt>
                <c:pt idx="46">
                  <c:v>0.10199999999999999</c:v>
                </c:pt>
                <c:pt idx="47">
                  <c:v>0.13600000000000001</c:v>
                </c:pt>
                <c:pt idx="48">
                  <c:v>0.19</c:v>
                </c:pt>
                <c:pt idx="49">
                  <c:v>0.25600000000000001</c:v>
                </c:pt>
                <c:pt idx="50">
                  <c:v>0.33600000000000002</c:v>
                </c:pt>
                <c:pt idx="51">
                  <c:v>0.41799999999999998</c:v>
                </c:pt>
                <c:pt idx="52">
                  <c:v>0.505</c:v>
                </c:pt>
                <c:pt idx="53">
                  <c:v>0.58099999999999996</c:v>
                </c:pt>
                <c:pt idx="54">
                  <c:v>0.64100000000000001</c:v>
                </c:pt>
                <c:pt idx="55">
                  <c:v>0.68200000000000005</c:v>
                </c:pt>
                <c:pt idx="56">
                  <c:v>0.71699999999999997</c:v>
                </c:pt>
                <c:pt idx="57">
                  <c:v>0.74</c:v>
                </c:pt>
                <c:pt idx="58">
                  <c:v>0.75800000000000001</c:v>
                </c:pt>
                <c:pt idx="59">
                  <c:v>0.77</c:v>
                </c:pt>
                <c:pt idx="60">
                  <c:v>0.78100000000000003</c:v>
                </c:pt>
                <c:pt idx="61">
                  <c:v>0.79</c:v>
                </c:pt>
                <c:pt idx="62">
                  <c:v>0.79700000000000004</c:v>
                </c:pt>
                <c:pt idx="63">
                  <c:v>0.80300000000000005</c:v>
                </c:pt>
                <c:pt idx="64">
                  <c:v>0.80900000000000005</c:v>
                </c:pt>
                <c:pt idx="65">
                  <c:v>0.81399999999999995</c:v>
                </c:pt>
                <c:pt idx="66">
                  <c:v>0.81899999999999995</c:v>
                </c:pt>
                <c:pt idx="67">
                  <c:v>0.82399999999999995</c:v>
                </c:pt>
                <c:pt idx="68">
                  <c:v>0.82799999999999996</c:v>
                </c:pt>
                <c:pt idx="69">
                  <c:v>0.83</c:v>
                </c:pt>
                <c:pt idx="70">
                  <c:v>0.83099999999999996</c:v>
                </c:pt>
                <c:pt idx="71">
                  <c:v>0.83299999999999996</c:v>
                </c:pt>
                <c:pt idx="72">
                  <c:v>0.83499999999999996</c:v>
                </c:pt>
                <c:pt idx="73">
                  <c:v>0.83599999999999997</c:v>
                </c:pt>
                <c:pt idx="74">
                  <c:v>0.83599999999999997</c:v>
                </c:pt>
                <c:pt idx="75">
                  <c:v>0.83699999999999997</c:v>
                </c:pt>
                <c:pt idx="76">
                  <c:v>0.83799999999999997</c:v>
                </c:pt>
                <c:pt idx="77">
                  <c:v>0.83899999999999997</c:v>
                </c:pt>
                <c:pt idx="78">
                  <c:v>0.83899999999999997</c:v>
                </c:pt>
                <c:pt idx="79">
                  <c:v>0.83899999999999997</c:v>
                </c:pt>
                <c:pt idx="80">
                  <c:v>0.83899999999999997</c:v>
                </c:pt>
                <c:pt idx="81">
                  <c:v>0.83899999999999997</c:v>
                </c:pt>
                <c:pt idx="82">
                  <c:v>0.83899999999999997</c:v>
                </c:pt>
                <c:pt idx="83">
                  <c:v>0.83899999999999997</c:v>
                </c:pt>
                <c:pt idx="84">
                  <c:v>0.83899999999999997</c:v>
                </c:pt>
                <c:pt idx="85">
                  <c:v>0.83899999999999997</c:v>
                </c:pt>
                <c:pt idx="86">
                  <c:v>0.83899999999999997</c:v>
                </c:pt>
                <c:pt idx="87">
                  <c:v>0.83899999999999997</c:v>
                </c:pt>
                <c:pt idx="88">
                  <c:v>0.83899999999999997</c:v>
                </c:pt>
                <c:pt idx="89">
                  <c:v>0.83899999999999997</c:v>
                </c:pt>
                <c:pt idx="90">
                  <c:v>0.83799999999999997</c:v>
                </c:pt>
                <c:pt idx="91">
                  <c:v>0.83699999999999997</c:v>
                </c:pt>
                <c:pt idx="92">
                  <c:v>0.83699999999999997</c:v>
                </c:pt>
                <c:pt idx="93">
                  <c:v>0.83599999999999997</c:v>
                </c:pt>
                <c:pt idx="94">
                  <c:v>0.83599999999999997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'Sample data'!$K$4</c:f>
              <c:strCache>
                <c:ptCount val="1"/>
                <c:pt idx="0">
                  <c:v>TCS10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data'!$K$5:$K$99</c:f>
              <c:numCache>
                <c:formatCode>General</c:formatCode>
                <c:ptCount val="95"/>
                <c:pt idx="0">
                  <c:v>4.2000000000000003E-2</c:v>
                </c:pt>
                <c:pt idx="1">
                  <c:v>4.2999999999999997E-2</c:v>
                </c:pt>
                <c:pt idx="2">
                  <c:v>4.4999999999999998E-2</c:v>
                </c:pt>
                <c:pt idx="3">
                  <c:v>4.7E-2</c:v>
                </c:pt>
                <c:pt idx="4">
                  <c:v>0.05</c:v>
                </c:pt>
                <c:pt idx="5">
                  <c:v>5.3999999999999999E-2</c:v>
                </c:pt>
                <c:pt idx="6">
                  <c:v>5.8999999999999997E-2</c:v>
                </c:pt>
                <c:pt idx="7">
                  <c:v>6.3E-2</c:v>
                </c:pt>
                <c:pt idx="8">
                  <c:v>6.6000000000000003E-2</c:v>
                </c:pt>
                <c:pt idx="9">
                  <c:v>6.7000000000000004E-2</c:v>
                </c:pt>
                <c:pt idx="10">
                  <c:v>6.8000000000000005E-2</c:v>
                </c:pt>
                <c:pt idx="11">
                  <c:v>6.9000000000000006E-2</c:v>
                </c:pt>
                <c:pt idx="12">
                  <c:v>6.9000000000000006E-2</c:v>
                </c:pt>
                <c:pt idx="13">
                  <c:v>7.0000000000000007E-2</c:v>
                </c:pt>
                <c:pt idx="14">
                  <c:v>7.1999999999999995E-2</c:v>
                </c:pt>
                <c:pt idx="15">
                  <c:v>7.2999999999999995E-2</c:v>
                </c:pt>
                <c:pt idx="16">
                  <c:v>7.5999999999999998E-2</c:v>
                </c:pt>
                <c:pt idx="17">
                  <c:v>7.8E-2</c:v>
                </c:pt>
                <c:pt idx="18">
                  <c:v>8.3000000000000004E-2</c:v>
                </c:pt>
                <c:pt idx="19">
                  <c:v>8.7999999999999995E-2</c:v>
                </c:pt>
                <c:pt idx="20">
                  <c:v>9.5000000000000001E-2</c:v>
                </c:pt>
                <c:pt idx="21">
                  <c:v>0.10299999999999999</c:v>
                </c:pt>
                <c:pt idx="22">
                  <c:v>0.113</c:v>
                </c:pt>
                <c:pt idx="23">
                  <c:v>0.125</c:v>
                </c:pt>
                <c:pt idx="24">
                  <c:v>0.14199999999999999</c:v>
                </c:pt>
                <c:pt idx="25">
                  <c:v>0.16200000000000001</c:v>
                </c:pt>
                <c:pt idx="26">
                  <c:v>0.189</c:v>
                </c:pt>
                <c:pt idx="27">
                  <c:v>0.219</c:v>
                </c:pt>
                <c:pt idx="28">
                  <c:v>0.26200000000000001</c:v>
                </c:pt>
                <c:pt idx="29">
                  <c:v>0.30499999999999999</c:v>
                </c:pt>
                <c:pt idx="30">
                  <c:v>0.36499999999999999</c:v>
                </c:pt>
                <c:pt idx="31">
                  <c:v>0.41599999999999998</c:v>
                </c:pt>
                <c:pt idx="32">
                  <c:v>0.46500000000000002</c:v>
                </c:pt>
                <c:pt idx="33">
                  <c:v>0.50900000000000001</c:v>
                </c:pt>
                <c:pt idx="34">
                  <c:v>0.54600000000000004</c:v>
                </c:pt>
                <c:pt idx="35">
                  <c:v>0.58099999999999996</c:v>
                </c:pt>
                <c:pt idx="36">
                  <c:v>0.61</c:v>
                </c:pt>
                <c:pt idx="37">
                  <c:v>0.63400000000000001</c:v>
                </c:pt>
                <c:pt idx="38">
                  <c:v>0.65300000000000002</c:v>
                </c:pt>
                <c:pt idx="39">
                  <c:v>0.66600000000000004</c:v>
                </c:pt>
                <c:pt idx="40">
                  <c:v>0.67800000000000005</c:v>
                </c:pt>
                <c:pt idx="41">
                  <c:v>0.68700000000000006</c:v>
                </c:pt>
                <c:pt idx="42">
                  <c:v>0.69299999999999995</c:v>
                </c:pt>
                <c:pt idx="43">
                  <c:v>0.69799999999999995</c:v>
                </c:pt>
                <c:pt idx="44">
                  <c:v>0.70099999999999996</c:v>
                </c:pt>
                <c:pt idx="45">
                  <c:v>0.70399999999999996</c:v>
                </c:pt>
                <c:pt idx="46">
                  <c:v>0.70499999999999996</c:v>
                </c:pt>
                <c:pt idx="47">
                  <c:v>0.70499999999999996</c:v>
                </c:pt>
                <c:pt idx="48">
                  <c:v>0.70599999999999996</c:v>
                </c:pt>
                <c:pt idx="49">
                  <c:v>0.70699999999999996</c:v>
                </c:pt>
                <c:pt idx="50">
                  <c:v>0.70699999999999996</c:v>
                </c:pt>
                <c:pt idx="51">
                  <c:v>0.70699999999999996</c:v>
                </c:pt>
                <c:pt idx="52">
                  <c:v>0.70799999999999996</c:v>
                </c:pt>
                <c:pt idx="53">
                  <c:v>0.70799999999999996</c:v>
                </c:pt>
                <c:pt idx="54">
                  <c:v>0.71</c:v>
                </c:pt>
                <c:pt idx="55">
                  <c:v>0.71099999999999997</c:v>
                </c:pt>
                <c:pt idx="56">
                  <c:v>0.71199999999999997</c:v>
                </c:pt>
                <c:pt idx="57">
                  <c:v>0.71399999999999997</c:v>
                </c:pt>
                <c:pt idx="58">
                  <c:v>0.71599999999999997</c:v>
                </c:pt>
                <c:pt idx="59">
                  <c:v>0.71799999999999997</c:v>
                </c:pt>
                <c:pt idx="60">
                  <c:v>0.72</c:v>
                </c:pt>
                <c:pt idx="61">
                  <c:v>0.72199999999999998</c:v>
                </c:pt>
                <c:pt idx="62">
                  <c:v>0.72499999999999998</c:v>
                </c:pt>
                <c:pt idx="63">
                  <c:v>0.72899999999999998</c:v>
                </c:pt>
                <c:pt idx="64">
                  <c:v>0.73099999999999998</c:v>
                </c:pt>
                <c:pt idx="65">
                  <c:v>0.73499999999999999</c:v>
                </c:pt>
                <c:pt idx="66">
                  <c:v>0.73899999999999999</c:v>
                </c:pt>
                <c:pt idx="67">
                  <c:v>0.74199999999999999</c:v>
                </c:pt>
                <c:pt idx="68">
                  <c:v>0.746</c:v>
                </c:pt>
                <c:pt idx="69">
                  <c:v>0.748</c:v>
                </c:pt>
                <c:pt idx="70">
                  <c:v>0.749</c:v>
                </c:pt>
                <c:pt idx="71">
                  <c:v>0.751</c:v>
                </c:pt>
                <c:pt idx="72">
                  <c:v>0.753</c:v>
                </c:pt>
                <c:pt idx="73">
                  <c:v>0.754</c:v>
                </c:pt>
                <c:pt idx="74">
                  <c:v>0.755</c:v>
                </c:pt>
                <c:pt idx="75">
                  <c:v>0.755</c:v>
                </c:pt>
                <c:pt idx="76">
                  <c:v>0.755</c:v>
                </c:pt>
                <c:pt idx="77">
                  <c:v>0.755</c:v>
                </c:pt>
                <c:pt idx="78">
                  <c:v>0.75600000000000001</c:v>
                </c:pt>
                <c:pt idx="79">
                  <c:v>0.75700000000000001</c:v>
                </c:pt>
                <c:pt idx="80">
                  <c:v>0.75800000000000001</c:v>
                </c:pt>
                <c:pt idx="81">
                  <c:v>0.75900000000000001</c:v>
                </c:pt>
                <c:pt idx="82">
                  <c:v>0.75900000000000001</c:v>
                </c:pt>
                <c:pt idx="83">
                  <c:v>0.75900000000000001</c:v>
                </c:pt>
                <c:pt idx="84">
                  <c:v>0.75900000000000001</c:v>
                </c:pt>
                <c:pt idx="85">
                  <c:v>0.75900000000000001</c:v>
                </c:pt>
                <c:pt idx="86">
                  <c:v>0.75900000000000001</c:v>
                </c:pt>
                <c:pt idx="87">
                  <c:v>0.75900000000000001</c:v>
                </c:pt>
                <c:pt idx="88">
                  <c:v>0.75900000000000001</c:v>
                </c:pt>
                <c:pt idx="89">
                  <c:v>0.75900000000000001</c:v>
                </c:pt>
                <c:pt idx="90">
                  <c:v>0.75800000000000001</c:v>
                </c:pt>
                <c:pt idx="91">
                  <c:v>0.75700000000000001</c:v>
                </c:pt>
                <c:pt idx="92">
                  <c:v>0.75700000000000001</c:v>
                </c:pt>
                <c:pt idx="93">
                  <c:v>0.75600000000000001</c:v>
                </c:pt>
                <c:pt idx="94">
                  <c:v>0.75600000000000001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'Sample data'!$L$4</c:f>
              <c:strCache>
                <c:ptCount val="1"/>
                <c:pt idx="0">
                  <c:v>TCS11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data'!$L$5:$L$99</c:f>
              <c:numCache>
                <c:formatCode>General</c:formatCode>
                <c:ptCount val="95"/>
                <c:pt idx="0">
                  <c:v>7.3999999999999996E-2</c:v>
                </c:pt>
                <c:pt idx="1">
                  <c:v>7.9000000000000001E-2</c:v>
                </c:pt>
                <c:pt idx="2">
                  <c:v>8.5999999999999993E-2</c:v>
                </c:pt>
                <c:pt idx="3">
                  <c:v>9.8000000000000004E-2</c:v>
                </c:pt>
                <c:pt idx="4">
                  <c:v>0.111</c:v>
                </c:pt>
                <c:pt idx="5">
                  <c:v>0.121</c:v>
                </c:pt>
                <c:pt idx="6">
                  <c:v>0.127</c:v>
                </c:pt>
                <c:pt idx="7">
                  <c:v>0.129</c:v>
                </c:pt>
                <c:pt idx="8">
                  <c:v>0.127</c:v>
                </c:pt>
                <c:pt idx="9">
                  <c:v>0.121</c:v>
                </c:pt>
                <c:pt idx="10">
                  <c:v>0.11600000000000001</c:v>
                </c:pt>
                <c:pt idx="11">
                  <c:v>0.112</c:v>
                </c:pt>
                <c:pt idx="12">
                  <c:v>0.108</c:v>
                </c:pt>
                <c:pt idx="13">
                  <c:v>0.105</c:v>
                </c:pt>
                <c:pt idx="14">
                  <c:v>0.104</c:v>
                </c:pt>
                <c:pt idx="15">
                  <c:v>0.104</c:v>
                </c:pt>
                <c:pt idx="16">
                  <c:v>0.105</c:v>
                </c:pt>
                <c:pt idx="17">
                  <c:v>0.106</c:v>
                </c:pt>
                <c:pt idx="18">
                  <c:v>0.11</c:v>
                </c:pt>
                <c:pt idx="19">
                  <c:v>0.115</c:v>
                </c:pt>
                <c:pt idx="20">
                  <c:v>0.123</c:v>
                </c:pt>
                <c:pt idx="21">
                  <c:v>0.13400000000000001</c:v>
                </c:pt>
                <c:pt idx="22">
                  <c:v>0.14799999999999999</c:v>
                </c:pt>
                <c:pt idx="23">
                  <c:v>0.16700000000000001</c:v>
                </c:pt>
                <c:pt idx="24">
                  <c:v>0.192</c:v>
                </c:pt>
                <c:pt idx="25">
                  <c:v>0.219</c:v>
                </c:pt>
                <c:pt idx="26">
                  <c:v>0.252</c:v>
                </c:pt>
                <c:pt idx="27">
                  <c:v>0.29099999999999998</c:v>
                </c:pt>
                <c:pt idx="28">
                  <c:v>0.32500000000000001</c:v>
                </c:pt>
                <c:pt idx="29">
                  <c:v>0.34699999999999998</c:v>
                </c:pt>
                <c:pt idx="30">
                  <c:v>0.35599999999999998</c:v>
                </c:pt>
                <c:pt idx="31">
                  <c:v>0.35299999999999998</c:v>
                </c:pt>
                <c:pt idx="32">
                  <c:v>0.34599999999999997</c:v>
                </c:pt>
                <c:pt idx="33">
                  <c:v>0.33300000000000002</c:v>
                </c:pt>
                <c:pt idx="34">
                  <c:v>0.314</c:v>
                </c:pt>
                <c:pt idx="35">
                  <c:v>0.29399999999999998</c:v>
                </c:pt>
                <c:pt idx="36">
                  <c:v>0.27100000000000002</c:v>
                </c:pt>
                <c:pt idx="37">
                  <c:v>0.248</c:v>
                </c:pt>
                <c:pt idx="38">
                  <c:v>0.22700000000000001</c:v>
                </c:pt>
                <c:pt idx="39">
                  <c:v>0.20599999999999999</c:v>
                </c:pt>
                <c:pt idx="40">
                  <c:v>0.188</c:v>
                </c:pt>
                <c:pt idx="41">
                  <c:v>0.17</c:v>
                </c:pt>
                <c:pt idx="42">
                  <c:v>0.153</c:v>
                </c:pt>
                <c:pt idx="43">
                  <c:v>0.13800000000000001</c:v>
                </c:pt>
                <c:pt idx="44">
                  <c:v>0.125</c:v>
                </c:pt>
                <c:pt idx="45">
                  <c:v>0.114</c:v>
                </c:pt>
                <c:pt idx="46">
                  <c:v>0.106</c:v>
                </c:pt>
                <c:pt idx="47">
                  <c:v>0.1</c:v>
                </c:pt>
                <c:pt idx="48">
                  <c:v>9.6000000000000002E-2</c:v>
                </c:pt>
                <c:pt idx="49">
                  <c:v>9.1999999999999998E-2</c:v>
                </c:pt>
                <c:pt idx="50">
                  <c:v>0.09</c:v>
                </c:pt>
                <c:pt idx="51">
                  <c:v>8.6999999999999994E-2</c:v>
                </c:pt>
                <c:pt idx="52">
                  <c:v>8.5000000000000006E-2</c:v>
                </c:pt>
                <c:pt idx="53">
                  <c:v>8.2000000000000003E-2</c:v>
                </c:pt>
                <c:pt idx="54">
                  <c:v>0.08</c:v>
                </c:pt>
                <c:pt idx="55">
                  <c:v>7.9000000000000001E-2</c:v>
                </c:pt>
                <c:pt idx="56">
                  <c:v>7.8E-2</c:v>
                </c:pt>
                <c:pt idx="57">
                  <c:v>7.8E-2</c:v>
                </c:pt>
                <c:pt idx="58">
                  <c:v>7.8E-2</c:v>
                </c:pt>
                <c:pt idx="59">
                  <c:v>7.8E-2</c:v>
                </c:pt>
                <c:pt idx="60">
                  <c:v>8.1000000000000003E-2</c:v>
                </c:pt>
                <c:pt idx="61">
                  <c:v>8.3000000000000004E-2</c:v>
                </c:pt>
                <c:pt idx="62">
                  <c:v>8.7999999999999995E-2</c:v>
                </c:pt>
                <c:pt idx="63">
                  <c:v>9.2999999999999999E-2</c:v>
                </c:pt>
                <c:pt idx="64">
                  <c:v>0.10199999999999999</c:v>
                </c:pt>
                <c:pt idx="65">
                  <c:v>0.112</c:v>
                </c:pt>
                <c:pt idx="66">
                  <c:v>0.125</c:v>
                </c:pt>
                <c:pt idx="67">
                  <c:v>0.14099999999999999</c:v>
                </c:pt>
                <c:pt idx="68">
                  <c:v>0.161</c:v>
                </c:pt>
                <c:pt idx="69">
                  <c:v>0.182</c:v>
                </c:pt>
                <c:pt idx="70">
                  <c:v>0.20300000000000001</c:v>
                </c:pt>
                <c:pt idx="71">
                  <c:v>0.223</c:v>
                </c:pt>
                <c:pt idx="72">
                  <c:v>0.24199999999999999</c:v>
                </c:pt>
                <c:pt idx="73">
                  <c:v>0.25700000000000001</c:v>
                </c:pt>
                <c:pt idx="74">
                  <c:v>0.27</c:v>
                </c:pt>
                <c:pt idx="75">
                  <c:v>0.28199999999999997</c:v>
                </c:pt>
                <c:pt idx="76">
                  <c:v>0.29199999999999998</c:v>
                </c:pt>
                <c:pt idx="77">
                  <c:v>0.30199999999999999</c:v>
                </c:pt>
                <c:pt idx="78">
                  <c:v>0.31</c:v>
                </c:pt>
                <c:pt idx="79">
                  <c:v>0.314</c:v>
                </c:pt>
                <c:pt idx="80">
                  <c:v>0.317</c:v>
                </c:pt>
                <c:pt idx="81">
                  <c:v>0.32300000000000001</c:v>
                </c:pt>
                <c:pt idx="82">
                  <c:v>0.33</c:v>
                </c:pt>
                <c:pt idx="83">
                  <c:v>0.33400000000000002</c:v>
                </c:pt>
                <c:pt idx="84">
                  <c:v>0.33800000000000002</c:v>
                </c:pt>
                <c:pt idx="85">
                  <c:v>0.34300000000000003</c:v>
                </c:pt>
                <c:pt idx="86">
                  <c:v>0.34799999999999998</c:v>
                </c:pt>
                <c:pt idx="87">
                  <c:v>0.35299999999999998</c:v>
                </c:pt>
                <c:pt idx="88">
                  <c:v>0.35899999999999999</c:v>
                </c:pt>
                <c:pt idx="89">
                  <c:v>0.36499999999999999</c:v>
                </c:pt>
                <c:pt idx="90">
                  <c:v>0.372</c:v>
                </c:pt>
                <c:pt idx="91">
                  <c:v>0.38</c:v>
                </c:pt>
                <c:pt idx="92">
                  <c:v>0.38800000000000001</c:v>
                </c:pt>
                <c:pt idx="93">
                  <c:v>0.39600000000000002</c:v>
                </c:pt>
                <c:pt idx="94">
                  <c:v>0.40300000000000002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'Sample data'!$M$4</c:f>
              <c:strCache>
                <c:ptCount val="1"/>
                <c:pt idx="0">
                  <c:v>TCS12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data'!$M$5:$M$99</c:f>
              <c:numCache>
                <c:formatCode>General</c:formatCode>
                <c:ptCount val="95"/>
                <c:pt idx="0">
                  <c:v>0.189</c:v>
                </c:pt>
                <c:pt idx="1">
                  <c:v>0.17499999999999999</c:v>
                </c:pt>
                <c:pt idx="2">
                  <c:v>0.158</c:v>
                </c:pt>
                <c:pt idx="3">
                  <c:v>0.13900000000000001</c:v>
                </c:pt>
                <c:pt idx="4">
                  <c:v>0.12</c:v>
                </c:pt>
                <c:pt idx="5">
                  <c:v>0.10299999999999999</c:v>
                </c:pt>
                <c:pt idx="6">
                  <c:v>0.09</c:v>
                </c:pt>
                <c:pt idx="7">
                  <c:v>8.2000000000000003E-2</c:v>
                </c:pt>
                <c:pt idx="8">
                  <c:v>7.5999999999999998E-2</c:v>
                </c:pt>
                <c:pt idx="9">
                  <c:v>6.8000000000000005E-2</c:v>
                </c:pt>
                <c:pt idx="10">
                  <c:v>6.4000000000000001E-2</c:v>
                </c:pt>
                <c:pt idx="11">
                  <c:v>6.5000000000000002E-2</c:v>
                </c:pt>
                <c:pt idx="12">
                  <c:v>7.4999999999999997E-2</c:v>
                </c:pt>
                <c:pt idx="13">
                  <c:v>9.2999999999999999E-2</c:v>
                </c:pt>
                <c:pt idx="14">
                  <c:v>0.123</c:v>
                </c:pt>
                <c:pt idx="15">
                  <c:v>0.16</c:v>
                </c:pt>
                <c:pt idx="16">
                  <c:v>0.20699999999999999</c:v>
                </c:pt>
                <c:pt idx="17">
                  <c:v>0.25600000000000001</c:v>
                </c:pt>
                <c:pt idx="18">
                  <c:v>0.3</c:v>
                </c:pt>
                <c:pt idx="19">
                  <c:v>0.33100000000000002</c:v>
                </c:pt>
                <c:pt idx="20">
                  <c:v>0.34599999999999997</c:v>
                </c:pt>
                <c:pt idx="21">
                  <c:v>0.34699999999999998</c:v>
                </c:pt>
                <c:pt idx="22">
                  <c:v>0.34100000000000003</c:v>
                </c:pt>
                <c:pt idx="23">
                  <c:v>0.32800000000000001</c:v>
                </c:pt>
                <c:pt idx="24">
                  <c:v>0.307</c:v>
                </c:pt>
                <c:pt idx="25">
                  <c:v>0.28199999999999997</c:v>
                </c:pt>
                <c:pt idx="26">
                  <c:v>0.25700000000000001</c:v>
                </c:pt>
                <c:pt idx="27">
                  <c:v>0.23</c:v>
                </c:pt>
                <c:pt idx="28">
                  <c:v>0.20399999999999999</c:v>
                </c:pt>
                <c:pt idx="29">
                  <c:v>0.17799999999999999</c:v>
                </c:pt>
                <c:pt idx="30">
                  <c:v>0.154</c:v>
                </c:pt>
                <c:pt idx="31">
                  <c:v>0.129</c:v>
                </c:pt>
                <c:pt idx="32">
                  <c:v>0.109</c:v>
                </c:pt>
                <c:pt idx="33">
                  <c:v>0.09</c:v>
                </c:pt>
                <c:pt idx="34">
                  <c:v>7.4999999999999997E-2</c:v>
                </c:pt>
                <c:pt idx="35">
                  <c:v>6.2E-2</c:v>
                </c:pt>
                <c:pt idx="36">
                  <c:v>5.0999999999999997E-2</c:v>
                </c:pt>
                <c:pt idx="37">
                  <c:v>4.1000000000000002E-2</c:v>
                </c:pt>
                <c:pt idx="38">
                  <c:v>3.5000000000000003E-2</c:v>
                </c:pt>
                <c:pt idx="39">
                  <c:v>2.9000000000000001E-2</c:v>
                </c:pt>
                <c:pt idx="40">
                  <c:v>2.5000000000000001E-2</c:v>
                </c:pt>
                <c:pt idx="41">
                  <c:v>2.1999999999999999E-2</c:v>
                </c:pt>
                <c:pt idx="42">
                  <c:v>1.9E-2</c:v>
                </c:pt>
                <c:pt idx="43">
                  <c:v>1.7000000000000001E-2</c:v>
                </c:pt>
                <c:pt idx="44">
                  <c:v>1.7000000000000001E-2</c:v>
                </c:pt>
                <c:pt idx="45">
                  <c:v>1.7000000000000001E-2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1.7999999999999999E-2</c:v>
                </c:pt>
                <c:pt idx="55">
                  <c:v>1.7999999999999999E-2</c:v>
                </c:pt>
                <c:pt idx="56">
                  <c:v>1.7999999999999999E-2</c:v>
                </c:pt>
                <c:pt idx="57">
                  <c:v>1.7999999999999999E-2</c:v>
                </c:pt>
                <c:pt idx="58">
                  <c:v>1.9E-2</c:v>
                </c:pt>
                <c:pt idx="59">
                  <c:v>0.02</c:v>
                </c:pt>
                <c:pt idx="60">
                  <c:v>2.3E-2</c:v>
                </c:pt>
                <c:pt idx="61">
                  <c:v>2.4E-2</c:v>
                </c:pt>
                <c:pt idx="62">
                  <c:v>2.5999999999999999E-2</c:v>
                </c:pt>
                <c:pt idx="63">
                  <c:v>0.03</c:v>
                </c:pt>
                <c:pt idx="64">
                  <c:v>3.5000000000000003E-2</c:v>
                </c:pt>
                <c:pt idx="65">
                  <c:v>4.2999999999999997E-2</c:v>
                </c:pt>
                <c:pt idx="66">
                  <c:v>5.6000000000000001E-2</c:v>
                </c:pt>
                <c:pt idx="67">
                  <c:v>7.3999999999999996E-2</c:v>
                </c:pt>
                <c:pt idx="68">
                  <c:v>9.7000000000000003E-2</c:v>
                </c:pt>
                <c:pt idx="69">
                  <c:v>0.128</c:v>
                </c:pt>
                <c:pt idx="70">
                  <c:v>0.16600000000000001</c:v>
                </c:pt>
                <c:pt idx="71">
                  <c:v>0.21</c:v>
                </c:pt>
                <c:pt idx="72">
                  <c:v>0.25700000000000001</c:v>
                </c:pt>
                <c:pt idx="73">
                  <c:v>0.30499999999999999</c:v>
                </c:pt>
                <c:pt idx="74">
                  <c:v>0.35399999999999998</c:v>
                </c:pt>
                <c:pt idx="75">
                  <c:v>0.40100000000000002</c:v>
                </c:pt>
                <c:pt idx="76">
                  <c:v>0.44600000000000001</c:v>
                </c:pt>
                <c:pt idx="77">
                  <c:v>0.48499999999999999</c:v>
                </c:pt>
                <c:pt idx="78">
                  <c:v>0.52</c:v>
                </c:pt>
                <c:pt idx="79">
                  <c:v>0.55100000000000005</c:v>
                </c:pt>
                <c:pt idx="80">
                  <c:v>0.57699999999999996</c:v>
                </c:pt>
                <c:pt idx="81">
                  <c:v>0.59899999999999998</c:v>
                </c:pt>
                <c:pt idx="82">
                  <c:v>0.61799999999999999</c:v>
                </c:pt>
                <c:pt idx="83">
                  <c:v>0.63300000000000001</c:v>
                </c:pt>
                <c:pt idx="84">
                  <c:v>0.64500000000000002</c:v>
                </c:pt>
                <c:pt idx="85">
                  <c:v>0.65600000000000003</c:v>
                </c:pt>
                <c:pt idx="86">
                  <c:v>0.66600000000000004</c:v>
                </c:pt>
                <c:pt idx="87">
                  <c:v>0.67400000000000004</c:v>
                </c:pt>
                <c:pt idx="88">
                  <c:v>0.68</c:v>
                </c:pt>
                <c:pt idx="89">
                  <c:v>0.68600000000000005</c:v>
                </c:pt>
                <c:pt idx="90">
                  <c:v>0.69099999999999995</c:v>
                </c:pt>
                <c:pt idx="91">
                  <c:v>0.69399999999999995</c:v>
                </c:pt>
                <c:pt idx="92">
                  <c:v>0.69699999999999995</c:v>
                </c:pt>
                <c:pt idx="93">
                  <c:v>0.7</c:v>
                </c:pt>
                <c:pt idx="94">
                  <c:v>0.70199999999999996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'Sample data'!$N$4</c:f>
              <c:strCache>
                <c:ptCount val="1"/>
                <c:pt idx="0">
                  <c:v>TCS13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data'!$N$5:$N$99</c:f>
              <c:numCache>
                <c:formatCode>General</c:formatCode>
                <c:ptCount val="95"/>
                <c:pt idx="0">
                  <c:v>7.0999999999999994E-2</c:v>
                </c:pt>
                <c:pt idx="1">
                  <c:v>7.5999999999999998E-2</c:v>
                </c:pt>
                <c:pt idx="2">
                  <c:v>8.2000000000000003E-2</c:v>
                </c:pt>
                <c:pt idx="3">
                  <c:v>0.09</c:v>
                </c:pt>
                <c:pt idx="4">
                  <c:v>0.104</c:v>
                </c:pt>
                <c:pt idx="5">
                  <c:v>0.127</c:v>
                </c:pt>
                <c:pt idx="6">
                  <c:v>0.161</c:v>
                </c:pt>
                <c:pt idx="7">
                  <c:v>0.21099999999999999</c:v>
                </c:pt>
                <c:pt idx="8">
                  <c:v>0.26400000000000001</c:v>
                </c:pt>
                <c:pt idx="9">
                  <c:v>0.313</c:v>
                </c:pt>
                <c:pt idx="10">
                  <c:v>0.34100000000000003</c:v>
                </c:pt>
                <c:pt idx="11">
                  <c:v>0.35199999999999998</c:v>
                </c:pt>
                <c:pt idx="12">
                  <c:v>0.35899999999999999</c:v>
                </c:pt>
                <c:pt idx="13">
                  <c:v>0.36099999999999999</c:v>
                </c:pt>
                <c:pt idx="14">
                  <c:v>0.36399999999999999</c:v>
                </c:pt>
                <c:pt idx="15">
                  <c:v>0.36499999999999999</c:v>
                </c:pt>
                <c:pt idx="16">
                  <c:v>0.36699999999999999</c:v>
                </c:pt>
                <c:pt idx="17">
                  <c:v>0.36899999999999999</c:v>
                </c:pt>
                <c:pt idx="18">
                  <c:v>0.372</c:v>
                </c:pt>
                <c:pt idx="19">
                  <c:v>0.374</c:v>
                </c:pt>
                <c:pt idx="20">
                  <c:v>0.376</c:v>
                </c:pt>
                <c:pt idx="21">
                  <c:v>0.379</c:v>
                </c:pt>
                <c:pt idx="22">
                  <c:v>0.38400000000000001</c:v>
                </c:pt>
                <c:pt idx="23">
                  <c:v>0.38900000000000001</c:v>
                </c:pt>
                <c:pt idx="24">
                  <c:v>0.39700000000000002</c:v>
                </c:pt>
                <c:pt idx="25">
                  <c:v>0.40500000000000003</c:v>
                </c:pt>
                <c:pt idx="26">
                  <c:v>0.41599999999999998</c:v>
                </c:pt>
                <c:pt idx="27">
                  <c:v>0.42899999999999999</c:v>
                </c:pt>
                <c:pt idx="28">
                  <c:v>0.443</c:v>
                </c:pt>
                <c:pt idx="29">
                  <c:v>0.45400000000000001</c:v>
                </c:pt>
                <c:pt idx="30">
                  <c:v>0.46100000000000002</c:v>
                </c:pt>
                <c:pt idx="31">
                  <c:v>0.46600000000000003</c:v>
                </c:pt>
                <c:pt idx="32">
                  <c:v>0.46899999999999997</c:v>
                </c:pt>
                <c:pt idx="33">
                  <c:v>0.47099999999999997</c:v>
                </c:pt>
                <c:pt idx="34">
                  <c:v>0.47399999999999998</c:v>
                </c:pt>
                <c:pt idx="35">
                  <c:v>0.47599999999999998</c:v>
                </c:pt>
                <c:pt idx="36">
                  <c:v>0.48299999999999998</c:v>
                </c:pt>
                <c:pt idx="37">
                  <c:v>0.49</c:v>
                </c:pt>
                <c:pt idx="38">
                  <c:v>0.50600000000000001</c:v>
                </c:pt>
                <c:pt idx="39">
                  <c:v>0.52600000000000002</c:v>
                </c:pt>
                <c:pt idx="40">
                  <c:v>0.55300000000000005</c:v>
                </c:pt>
                <c:pt idx="41">
                  <c:v>0.58199999999999996</c:v>
                </c:pt>
                <c:pt idx="42">
                  <c:v>0.61799999999999999</c:v>
                </c:pt>
                <c:pt idx="43">
                  <c:v>0.65100000000000002</c:v>
                </c:pt>
                <c:pt idx="44">
                  <c:v>0.68</c:v>
                </c:pt>
                <c:pt idx="45">
                  <c:v>0.70099999999999996</c:v>
                </c:pt>
                <c:pt idx="46">
                  <c:v>0.71699999999999997</c:v>
                </c:pt>
                <c:pt idx="47">
                  <c:v>0.72899999999999998</c:v>
                </c:pt>
                <c:pt idx="48">
                  <c:v>0.73599999999999999</c:v>
                </c:pt>
                <c:pt idx="49">
                  <c:v>0.74199999999999999</c:v>
                </c:pt>
                <c:pt idx="50">
                  <c:v>0.745</c:v>
                </c:pt>
                <c:pt idx="51">
                  <c:v>0.747</c:v>
                </c:pt>
                <c:pt idx="52">
                  <c:v>0.748</c:v>
                </c:pt>
                <c:pt idx="53">
                  <c:v>0.748</c:v>
                </c:pt>
                <c:pt idx="54">
                  <c:v>0.748</c:v>
                </c:pt>
                <c:pt idx="55">
                  <c:v>0.748</c:v>
                </c:pt>
                <c:pt idx="56">
                  <c:v>0.748</c:v>
                </c:pt>
                <c:pt idx="57">
                  <c:v>0.748</c:v>
                </c:pt>
                <c:pt idx="58">
                  <c:v>0.748</c:v>
                </c:pt>
                <c:pt idx="59">
                  <c:v>0.748</c:v>
                </c:pt>
                <c:pt idx="60">
                  <c:v>0.747</c:v>
                </c:pt>
                <c:pt idx="61">
                  <c:v>0.747</c:v>
                </c:pt>
                <c:pt idx="62">
                  <c:v>0.747</c:v>
                </c:pt>
                <c:pt idx="63">
                  <c:v>0.747</c:v>
                </c:pt>
                <c:pt idx="64">
                  <c:v>0.747</c:v>
                </c:pt>
                <c:pt idx="65">
                  <c:v>0.747</c:v>
                </c:pt>
                <c:pt idx="66">
                  <c:v>0.747</c:v>
                </c:pt>
                <c:pt idx="67">
                  <c:v>0.746</c:v>
                </c:pt>
                <c:pt idx="68">
                  <c:v>0.746</c:v>
                </c:pt>
                <c:pt idx="69">
                  <c:v>0.746</c:v>
                </c:pt>
                <c:pt idx="70">
                  <c:v>0.745</c:v>
                </c:pt>
                <c:pt idx="71">
                  <c:v>0.74399999999999999</c:v>
                </c:pt>
                <c:pt idx="72">
                  <c:v>0.74299999999999999</c:v>
                </c:pt>
                <c:pt idx="73">
                  <c:v>0.74399999999999999</c:v>
                </c:pt>
                <c:pt idx="74">
                  <c:v>0.745</c:v>
                </c:pt>
                <c:pt idx="75">
                  <c:v>0.748</c:v>
                </c:pt>
                <c:pt idx="76">
                  <c:v>0.75</c:v>
                </c:pt>
                <c:pt idx="77">
                  <c:v>0.75</c:v>
                </c:pt>
                <c:pt idx="78">
                  <c:v>0.749</c:v>
                </c:pt>
                <c:pt idx="79">
                  <c:v>0.748</c:v>
                </c:pt>
                <c:pt idx="80">
                  <c:v>0.748</c:v>
                </c:pt>
                <c:pt idx="81">
                  <c:v>0.747</c:v>
                </c:pt>
                <c:pt idx="82">
                  <c:v>0.747</c:v>
                </c:pt>
                <c:pt idx="83">
                  <c:v>0.747</c:v>
                </c:pt>
                <c:pt idx="84">
                  <c:v>0.747</c:v>
                </c:pt>
                <c:pt idx="85">
                  <c:v>0.746</c:v>
                </c:pt>
                <c:pt idx="86">
                  <c:v>0.746</c:v>
                </c:pt>
                <c:pt idx="87">
                  <c:v>0.746</c:v>
                </c:pt>
                <c:pt idx="88">
                  <c:v>0.746</c:v>
                </c:pt>
                <c:pt idx="89">
                  <c:v>0.745</c:v>
                </c:pt>
                <c:pt idx="90">
                  <c:v>0.745</c:v>
                </c:pt>
                <c:pt idx="91">
                  <c:v>0.745</c:v>
                </c:pt>
                <c:pt idx="92">
                  <c:v>0.745</c:v>
                </c:pt>
                <c:pt idx="93">
                  <c:v>0.745</c:v>
                </c:pt>
                <c:pt idx="94">
                  <c:v>0.745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'Sample data'!$O$4</c:f>
              <c:strCache>
                <c:ptCount val="1"/>
                <c:pt idx="0">
                  <c:v>TCS14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data'!$O$5:$O$99</c:f>
              <c:numCache>
                <c:formatCode>General</c:formatCode>
                <c:ptCount val="95"/>
                <c:pt idx="0">
                  <c:v>3.5999999999999997E-2</c:v>
                </c:pt>
                <c:pt idx="1">
                  <c:v>3.5999999999999997E-2</c:v>
                </c:pt>
                <c:pt idx="2">
                  <c:v>3.5999999999999997E-2</c:v>
                </c:pt>
                <c:pt idx="3">
                  <c:v>3.5999999999999997E-2</c:v>
                </c:pt>
                <c:pt idx="4">
                  <c:v>3.5999999999999997E-2</c:v>
                </c:pt>
                <c:pt idx="5">
                  <c:v>3.5999999999999997E-2</c:v>
                </c:pt>
                <c:pt idx="6">
                  <c:v>3.6999999999999998E-2</c:v>
                </c:pt>
                <c:pt idx="7">
                  <c:v>3.7999999999999999E-2</c:v>
                </c:pt>
                <c:pt idx="8">
                  <c:v>3.9E-2</c:v>
                </c:pt>
                <c:pt idx="9">
                  <c:v>3.9E-2</c:v>
                </c:pt>
                <c:pt idx="10">
                  <c:v>0.04</c:v>
                </c:pt>
                <c:pt idx="11">
                  <c:v>4.1000000000000002E-2</c:v>
                </c:pt>
                <c:pt idx="12">
                  <c:v>4.2000000000000003E-2</c:v>
                </c:pt>
                <c:pt idx="13">
                  <c:v>4.2000000000000003E-2</c:v>
                </c:pt>
                <c:pt idx="14">
                  <c:v>4.2999999999999997E-2</c:v>
                </c:pt>
                <c:pt idx="15">
                  <c:v>4.3999999999999997E-2</c:v>
                </c:pt>
                <c:pt idx="16">
                  <c:v>4.3999999999999997E-2</c:v>
                </c:pt>
                <c:pt idx="17">
                  <c:v>4.4999999999999998E-2</c:v>
                </c:pt>
                <c:pt idx="18">
                  <c:v>4.4999999999999998E-2</c:v>
                </c:pt>
                <c:pt idx="19">
                  <c:v>4.5999999999999999E-2</c:v>
                </c:pt>
                <c:pt idx="20">
                  <c:v>4.7E-2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5.1999999999999998E-2</c:v>
                </c:pt>
                <c:pt idx="24">
                  <c:v>5.5E-2</c:v>
                </c:pt>
                <c:pt idx="25">
                  <c:v>5.7000000000000002E-2</c:v>
                </c:pt>
                <c:pt idx="26">
                  <c:v>6.2E-2</c:v>
                </c:pt>
                <c:pt idx="27">
                  <c:v>6.7000000000000004E-2</c:v>
                </c:pt>
                <c:pt idx="28">
                  <c:v>7.4999999999999997E-2</c:v>
                </c:pt>
                <c:pt idx="29">
                  <c:v>8.3000000000000004E-2</c:v>
                </c:pt>
                <c:pt idx="30">
                  <c:v>9.1999999999999998E-2</c:v>
                </c:pt>
                <c:pt idx="31">
                  <c:v>0.1</c:v>
                </c:pt>
                <c:pt idx="32">
                  <c:v>0.108</c:v>
                </c:pt>
                <c:pt idx="33">
                  <c:v>0.121</c:v>
                </c:pt>
                <c:pt idx="34">
                  <c:v>0.13300000000000001</c:v>
                </c:pt>
                <c:pt idx="35">
                  <c:v>0.14199999999999999</c:v>
                </c:pt>
                <c:pt idx="36">
                  <c:v>0.15</c:v>
                </c:pt>
                <c:pt idx="37">
                  <c:v>0.154</c:v>
                </c:pt>
                <c:pt idx="38">
                  <c:v>0.155</c:v>
                </c:pt>
                <c:pt idx="39">
                  <c:v>0.152</c:v>
                </c:pt>
                <c:pt idx="40">
                  <c:v>0.14699999999999999</c:v>
                </c:pt>
                <c:pt idx="41">
                  <c:v>0.14000000000000001</c:v>
                </c:pt>
                <c:pt idx="42">
                  <c:v>0.13300000000000001</c:v>
                </c:pt>
                <c:pt idx="43">
                  <c:v>0.125</c:v>
                </c:pt>
                <c:pt idx="44">
                  <c:v>0.11799999999999999</c:v>
                </c:pt>
                <c:pt idx="45">
                  <c:v>0.112</c:v>
                </c:pt>
                <c:pt idx="46">
                  <c:v>0.106</c:v>
                </c:pt>
                <c:pt idx="47">
                  <c:v>0.10100000000000001</c:v>
                </c:pt>
                <c:pt idx="48">
                  <c:v>9.8000000000000004E-2</c:v>
                </c:pt>
                <c:pt idx="49">
                  <c:v>9.5000000000000001E-2</c:v>
                </c:pt>
                <c:pt idx="50">
                  <c:v>9.2999999999999999E-2</c:v>
                </c:pt>
                <c:pt idx="51">
                  <c:v>0.09</c:v>
                </c:pt>
                <c:pt idx="52">
                  <c:v>8.8999999999999996E-2</c:v>
                </c:pt>
                <c:pt idx="53">
                  <c:v>8.6999999999999994E-2</c:v>
                </c:pt>
                <c:pt idx="54">
                  <c:v>8.5999999999999993E-2</c:v>
                </c:pt>
                <c:pt idx="55">
                  <c:v>8.5000000000000006E-2</c:v>
                </c:pt>
                <c:pt idx="56">
                  <c:v>8.4000000000000005E-2</c:v>
                </c:pt>
                <c:pt idx="57">
                  <c:v>8.4000000000000005E-2</c:v>
                </c:pt>
                <c:pt idx="58">
                  <c:v>8.4000000000000005E-2</c:v>
                </c:pt>
                <c:pt idx="59">
                  <c:v>8.4000000000000005E-2</c:v>
                </c:pt>
                <c:pt idx="60">
                  <c:v>8.5000000000000006E-2</c:v>
                </c:pt>
                <c:pt idx="61">
                  <c:v>8.6999999999999994E-2</c:v>
                </c:pt>
                <c:pt idx="62">
                  <c:v>9.1999999999999998E-2</c:v>
                </c:pt>
                <c:pt idx="63">
                  <c:v>9.6000000000000002E-2</c:v>
                </c:pt>
                <c:pt idx="64">
                  <c:v>0.10199999999999999</c:v>
                </c:pt>
                <c:pt idx="65">
                  <c:v>0.11</c:v>
                </c:pt>
                <c:pt idx="66">
                  <c:v>0.123</c:v>
                </c:pt>
                <c:pt idx="67">
                  <c:v>0.13700000000000001</c:v>
                </c:pt>
                <c:pt idx="68">
                  <c:v>0.152</c:v>
                </c:pt>
                <c:pt idx="69">
                  <c:v>0.16900000000000001</c:v>
                </c:pt>
                <c:pt idx="70">
                  <c:v>0.188</c:v>
                </c:pt>
                <c:pt idx="71">
                  <c:v>0.20699999999999999</c:v>
                </c:pt>
                <c:pt idx="72">
                  <c:v>0.22600000000000001</c:v>
                </c:pt>
                <c:pt idx="73">
                  <c:v>0.24299999999999999</c:v>
                </c:pt>
                <c:pt idx="74">
                  <c:v>0.26</c:v>
                </c:pt>
                <c:pt idx="75">
                  <c:v>0.27700000000000002</c:v>
                </c:pt>
                <c:pt idx="76">
                  <c:v>0.29399999999999998</c:v>
                </c:pt>
                <c:pt idx="77">
                  <c:v>0.31</c:v>
                </c:pt>
                <c:pt idx="78">
                  <c:v>0.32500000000000001</c:v>
                </c:pt>
                <c:pt idx="79">
                  <c:v>0.33900000000000002</c:v>
                </c:pt>
                <c:pt idx="80">
                  <c:v>0.35299999999999998</c:v>
                </c:pt>
                <c:pt idx="81">
                  <c:v>0.36599999999999999</c:v>
                </c:pt>
                <c:pt idx="82">
                  <c:v>0.379</c:v>
                </c:pt>
                <c:pt idx="83">
                  <c:v>0.39</c:v>
                </c:pt>
                <c:pt idx="84">
                  <c:v>0.39900000000000002</c:v>
                </c:pt>
                <c:pt idx="85">
                  <c:v>0.40799999999999997</c:v>
                </c:pt>
                <c:pt idx="86">
                  <c:v>0.41599999999999998</c:v>
                </c:pt>
                <c:pt idx="87">
                  <c:v>0.42199999999999999</c:v>
                </c:pt>
                <c:pt idx="88">
                  <c:v>0.42799999999999999</c:v>
                </c:pt>
                <c:pt idx="89">
                  <c:v>0.434</c:v>
                </c:pt>
                <c:pt idx="90">
                  <c:v>0.439</c:v>
                </c:pt>
                <c:pt idx="91">
                  <c:v>0.44400000000000001</c:v>
                </c:pt>
                <c:pt idx="92">
                  <c:v>0.44800000000000001</c:v>
                </c:pt>
                <c:pt idx="93">
                  <c:v>0.45100000000000001</c:v>
                </c:pt>
                <c:pt idx="94">
                  <c:v>0.45400000000000001</c:v>
                </c:pt>
              </c:numCache>
            </c:numRef>
          </c:yVal>
          <c:smooth val="0"/>
        </c:ser>
        <c:ser>
          <c:idx val="0"/>
          <c:order val="6"/>
          <c:tx>
            <c:strRef>
              <c:f>'Sample data'!$P$4</c:f>
              <c:strCache>
                <c:ptCount val="1"/>
                <c:pt idx="0">
                  <c:v>TCS15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'Sample data'!$A$5:$A$99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'Sample data'!$P$5:$P$99</c:f>
              <c:numCache>
                <c:formatCode>General</c:formatCode>
                <c:ptCount val="95"/>
                <c:pt idx="4">
                  <c:v>0.13100000000000001</c:v>
                </c:pt>
                <c:pt idx="5">
                  <c:v>0.13900000000000001</c:v>
                </c:pt>
                <c:pt idx="6">
                  <c:v>0.14699999999999999</c:v>
                </c:pt>
                <c:pt idx="7">
                  <c:v>0.153</c:v>
                </c:pt>
                <c:pt idx="8">
                  <c:v>0.158</c:v>
                </c:pt>
                <c:pt idx="9">
                  <c:v>0.16200000000000001</c:v>
                </c:pt>
                <c:pt idx="10">
                  <c:v>0.16400000000000001</c:v>
                </c:pt>
                <c:pt idx="11">
                  <c:v>0.16700000000000001</c:v>
                </c:pt>
                <c:pt idx="12">
                  <c:v>0.17</c:v>
                </c:pt>
                <c:pt idx="13">
                  <c:v>0.17499999999999999</c:v>
                </c:pt>
                <c:pt idx="14">
                  <c:v>0.182</c:v>
                </c:pt>
                <c:pt idx="15">
                  <c:v>0.192</c:v>
                </c:pt>
                <c:pt idx="16">
                  <c:v>0.20300000000000001</c:v>
                </c:pt>
                <c:pt idx="17">
                  <c:v>0.21199999999999999</c:v>
                </c:pt>
                <c:pt idx="18">
                  <c:v>0.221</c:v>
                </c:pt>
                <c:pt idx="19">
                  <c:v>0.22900000000000001</c:v>
                </c:pt>
                <c:pt idx="20">
                  <c:v>0.23599999999999999</c:v>
                </c:pt>
                <c:pt idx="21">
                  <c:v>0.24299999999999999</c:v>
                </c:pt>
                <c:pt idx="22">
                  <c:v>0.249</c:v>
                </c:pt>
                <c:pt idx="23">
                  <c:v>0.254</c:v>
                </c:pt>
                <c:pt idx="24">
                  <c:v>0.25900000000000001</c:v>
                </c:pt>
                <c:pt idx="25">
                  <c:v>0.26400000000000001</c:v>
                </c:pt>
                <c:pt idx="26">
                  <c:v>0.26900000000000002</c:v>
                </c:pt>
                <c:pt idx="27">
                  <c:v>0.27600000000000002</c:v>
                </c:pt>
                <c:pt idx="28">
                  <c:v>0.28399999999999997</c:v>
                </c:pt>
                <c:pt idx="29">
                  <c:v>0.29099999999999998</c:v>
                </c:pt>
                <c:pt idx="30">
                  <c:v>0.29599999999999999</c:v>
                </c:pt>
                <c:pt idx="31">
                  <c:v>0.29799999999999999</c:v>
                </c:pt>
                <c:pt idx="32">
                  <c:v>0.29599999999999999</c:v>
                </c:pt>
                <c:pt idx="33">
                  <c:v>0.28899999999999998</c:v>
                </c:pt>
                <c:pt idx="34">
                  <c:v>0.28199999999999997</c:v>
                </c:pt>
                <c:pt idx="35">
                  <c:v>0.27600000000000002</c:v>
                </c:pt>
                <c:pt idx="36">
                  <c:v>0.27400000000000002</c:v>
                </c:pt>
                <c:pt idx="37">
                  <c:v>0.27600000000000002</c:v>
                </c:pt>
                <c:pt idx="38">
                  <c:v>0.28100000000000003</c:v>
                </c:pt>
                <c:pt idx="39">
                  <c:v>0.28599999999999998</c:v>
                </c:pt>
                <c:pt idx="40">
                  <c:v>0.29099999999999998</c:v>
                </c:pt>
                <c:pt idx="41">
                  <c:v>0.28899999999999998</c:v>
                </c:pt>
                <c:pt idx="42">
                  <c:v>0.28599999999999998</c:v>
                </c:pt>
                <c:pt idx="43">
                  <c:v>0.28000000000000003</c:v>
                </c:pt>
                <c:pt idx="44">
                  <c:v>0.28499999999999998</c:v>
                </c:pt>
                <c:pt idx="45">
                  <c:v>0.314</c:v>
                </c:pt>
                <c:pt idx="46">
                  <c:v>0.35399999999999998</c:v>
                </c:pt>
                <c:pt idx="47">
                  <c:v>0.39800000000000002</c:v>
                </c:pt>
                <c:pt idx="48">
                  <c:v>0.44</c:v>
                </c:pt>
                <c:pt idx="49">
                  <c:v>0.47</c:v>
                </c:pt>
                <c:pt idx="50">
                  <c:v>0.49399999999999999</c:v>
                </c:pt>
                <c:pt idx="51">
                  <c:v>0.51100000000000001</c:v>
                </c:pt>
                <c:pt idx="52">
                  <c:v>0.52400000000000002</c:v>
                </c:pt>
                <c:pt idx="53">
                  <c:v>0.53500000000000003</c:v>
                </c:pt>
                <c:pt idx="54">
                  <c:v>0.54400000000000004</c:v>
                </c:pt>
                <c:pt idx="55">
                  <c:v>0.55200000000000005</c:v>
                </c:pt>
                <c:pt idx="56">
                  <c:v>0.55900000000000005</c:v>
                </c:pt>
                <c:pt idx="57">
                  <c:v>0.56499999999999995</c:v>
                </c:pt>
                <c:pt idx="58">
                  <c:v>0.57099999999999995</c:v>
                </c:pt>
                <c:pt idx="59">
                  <c:v>0.57599999999999996</c:v>
                </c:pt>
                <c:pt idx="60">
                  <c:v>0.58099999999999996</c:v>
                </c:pt>
                <c:pt idx="61">
                  <c:v>0.58599999999999997</c:v>
                </c:pt>
                <c:pt idx="62">
                  <c:v>0.59</c:v>
                </c:pt>
                <c:pt idx="63">
                  <c:v>0.59399999999999997</c:v>
                </c:pt>
                <c:pt idx="64">
                  <c:v>0.59899999999999998</c:v>
                </c:pt>
                <c:pt idx="65">
                  <c:v>0.60299999999999998</c:v>
                </c:pt>
                <c:pt idx="66">
                  <c:v>0.60599999999999998</c:v>
                </c:pt>
                <c:pt idx="67">
                  <c:v>0.61</c:v>
                </c:pt>
                <c:pt idx="68">
                  <c:v>0.61199999999999999</c:v>
                </c:pt>
                <c:pt idx="69">
                  <c:v>0.61399999999999999</c:v>
                </c:pt>
                <c:pt idx="70">
                  <c:v>0.61599999999999999</c:v>
                </c:pt>
                <c:pt idx="71">
                  <c:v>0.61599999999999999</c:v>
                </c:pt>
                <c:pt idx="72">
                  <c:v>0.61599999999999999</c:v>
                </c:pt>
                <c:pt idx="73">
                  <c:v>0.61599999999999999</c:v>
                </c:pt>
                <c:pt idx="74">
                  <c:v>0.61499999999999999</c:v>
                </c:pt>
                <c:pt idx="75">
                  <c:v>0.61299999999999999</c:v>
                </c:pt>
                <c:pt idx="76">
                  <c:v>0.61199999999999999</c:v>
                </c:pt>
                <c:pt idx="77">
                  <c:v>0.61</c:v>
                </c:pt>
                <c:pt idx="78">
                  <c:v>0.60899999999999999</c:v>
                </c:pt>
                <c:pt idx="79">
                  <c:v>0.60799999999999998</c:v>
                </c:pt>
                <c:pt idx="80">
                  <c:v>0.60699999999999998</c:v>
                </c:pt>
                <c:pt idx="81">
                  <c:v>0.60699999999999998</c:v>
                </c:pt>
                <c:pt idx="82">
                  <c:v>0.60899999999999999</c:v>
                </c:pt>
                <c:pt idx="83">
                  <c:v>0.61</c:v>
                </c:pt>
                <c:pt idx="84">
                  <c:v>0.61099999999999999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21568"/>
        <c:axId val="450921960"/>
      </c:scatterChart>
      <c:valAx>
        <c:axId val="450921568"/>
        <c:scaling>
          <c:orientation val="minMax"/>
          <c:max val="800"/>
          <c:min val="35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0921960"/>
        <c:crosses val="autoZero"/>
        <c:crossBetween val="midCat"/>
      </c:valAx>
      <c:valAx>
        <c:axId val="4509219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450921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224543497229489"/>
          <c:y val="9.3073789810330765E-2"/>
          <c:w val="0.11479598986317537"/>
          <c:h val="0.365801639021998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647700</xdr:colOff>
      <xdr:row>22</xdr:row>
      <xdr:rowOff>123825</xdr:rowOff>
    </xdr:from>
    <xdr:to>
      <xdr:col>29</xdr:col>
      <xdr:colOff>581025</xdr:colOff>
      <xdr:row>43</xdr:row>
      <xdr:rowOff>95250</xdr:rowOff>
    </xdr:to>
    <xdr:graphicFrame macro="">
      <xdr:nvGraphicFramePr>
        <xdr:cNvPr id="2969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752475</xdr:colOff>
      <xdr:row>44</xdr:row>
      <xdr:rowOff>47625</xdr:rowOff>
    </xdr:to>
    <xdr:graphicFrame macro="">
      <xdr:nvGraphicFramePr>
        <xdr:cNvPr id="2065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0.35553</cdr:x>
      <cdr:y>0.8643</cdr:y>
    </cdr:from>
    <cdr:to>
      <cdr:x>0.39449</cdr:x>
      <cdr:y>0.88673</cdr:y>
    </cdr:to>
    <cdr:sp macro="" textlink="">
      <cdr:nvSpPr>
        <cdr:cNvPr id="19457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41432" y="5848191"/>
          <a:ext cx="267129" cy="1516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450</a:t>
          </a:r>
        </a:p>
      </cdr:txBody>
    </cdr:sp>
  </cdr:relSizeAnchor>
  <cdr:relSizeAnchor xmlns:cdr="http://schemas.openxmlformats.org/drawingml/2006/chartDrawing">
    <cdr:from>
      <cdr:x>0.6102</cdr:x>
      <cdr:y>0.56482</cdr:y>
    </cdr:from>
    <cdr:to>
      <cdr:x>0.69352</cdr:x>
      <cdr:y>0.59859</cdr:y>
    </cdr:to>
    <cdr:sp macro="" textlink="">
      <cdr:nvSpPr>
        <cdr:cNvPr id="19458" name="Text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87912" y="3822938"/>
          <a:ext cx="571453" cy="22836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2000 K</a:t>
          </a:r>
        </a:p>
      </cdr:txBody>
    </cdr:sp>
  </cdr:relSizeAnchor>
  <cdr:relSizeAnchor xmlns:cdr="http://schemas.openxmlformats.org/drawingml/2006/chartDrawing">
    <cdr:from>
      <cdr:x>0.62376</cdr:x>
      <cdr:y>0.54116</cdr:y>
    </cdr:from>
    <cdr:to>
      <cdr:x>0.62893</cdr:x>
      <cdr:y>0.56482</cdr:y>
    </cdr:to>
    <cdr:sp macro="" textlink="">
      <cdr:nvSpPr>
        <cdr:cNvPr id="19459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4280900" y="3662918"/>
          <a:ext cx="35505" cy="16002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0.54659</cdr:x>
      <cdr:y>0.55349</cdr:y>
    </cdr:from>
    <cdr:to>
      <cdr:x>0.58826</cdr:x>
      <cdr:y>0.58208</cdr:y>
    </cdr:to>
    <cdr:sp macro="" textlink="">
      <cdr:nvSpPr>
        <cdr:cNvPr id="1946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51715" y="3746262"/>
          <a:ext cx="285726" cy="19335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0.56706</cdr:x>
      <cdr:y>0.58208</cdr:y>
    </cdr:from>
    <cdr:to>
      <cdr:x>0.64619</cdr:x>
      <cdr:y>0.60599</cdr:y>
    </cdr:to>
    <cdr:sp macro="" textlink="">
      <cdr:nvSpPr>
        <cdr:cNvPr id="19461" name="Text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92042" y="3939619"/>
          <a:ext cx="542711" cy="1616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3000 K</a:t>
          </a:r>
        </a:p>
      </cdr:txBody>
    </cdr:sp>
  </cdr:relSizeAnchor>
  <cdr:relSizeAnchor xmlns:cdr="http://schemas.openxmlformats.org/drawingml/2006/chartDrawing">
    <cdr:from>
      <cdr:x>0.48028</cdr:x>
      <cdr:y>0.58208</cdr:y>
    </cdr:from>
    <cdr:to>
      <cdr:x>0.55251</cdr:x>
      <cdr:y>0.60599</cdr:y>
    </cdr:to>
    <cdr:sp macro="" textlink="">
      <cdr:nvSpPr>
        <cdr:cNvPr id="19462" name="Text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96920" y="3939619"/>
          <a:ext cx="495371" cy="1616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5000 K</a:t>
          </a:r>
        </a:p>
      </cdr:txBody>
    </cdr:sp>
  </cdr:relSizeAnchor>
  <cdr:relSizeAnchor xmlns:cdr="http://schemas.openxmlformats.org/drawingml/2006/chartDrawing">
    <cdr:from>
      <cdr:x>0.45612</cdr:x>
      <cdr:y>0.59021</cdr:y>
    </cdr:from>
    <cdr:to>
      <cdr:x>0.48028</cdr:x>
      <cdr:y>0.59514</cdr:y>
    </cdr:to>
    <cdr:sp macro="" textlink="">
      <cdr:nvSpPr>
        <cdr:cNvPr id="19463" name="Line 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131233" y="3994626"/>
          <a:ext cx="165687" cy="3333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0.3972</cdr:x>
      <cdr:y>0.6506</cdr:y>
    </cdr:from>
    <cdr:to>
      <cdr:x>0.42727</cdr:x>
      <cdr:y>0.67081</cdr:y>
    </cdr:to>
    <cdr:sp macro="" textlink="">
      <cdr:nvSpPr>
        <cdr:cNvPr id="19464" name="Line 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727158" y="4403011"/>
          <a:ext cx="206264" cy="13668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0.43418</cdr:x>
      <cdr:y>0.66687</cdr:y>
    </cdr:from>
    <cdr:to>
      <cdr:x>0.52712</cdr:x>
      <cdr:y>0.69373</cdr:y>
    </cdr:to>
    <cdr:sp macro="" textlink="">
      <cdr:nvSpPr>
        <cdr:cNvPr id="19465" name="Text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80761" y="4513024"/>
          <a:ext cx="637390" cy="1816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10000 K</a:t>
          </a:r>
        </a:p>
      </cdr:txBody>
    </cdr:sp>
  </cdr:relSizeAnchor>
  <cdr:relSizeAnchor xmlns:cdr="http://schemas.openxmlformats.org/drawingml/2006/chartDrawing">
    <cdr:from>
      <cdr:x>0.37279</cdr:x>
      <cdr:y>0.68067</cdr:y>
    </cdr:from>
    <cdr:to>
      <cdr:x>0.40238</cdr:x>
      <cdr:y>0.6994</cdr:y>
    </cdr:to>
    <cdr:sp macro="" textlink="">
      <cdr:nvSpPr>
        <cdr:cNvPr id="19466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559780" y="4606369"/>
          <a:ext cx="202883" cy="12668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0.40238</cdr:x>
      <cdr:y>0.69053</cdr:y>
    </cdr:from>
    <cdr:to>
      <cdr:x>0.51356</cdr:x>
      <cdr:y>0.71863</cdr:y>
    </cdr:to>
    <cdr:sp macro="" textlink="">
      <cdr:nvSpPr>
        <cdr:cNvPr id="19467" name="Text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62663" y="4673044"/>
          <a:ext cx="762500" cy="19002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20000 K</a:t>
          </a:r>
        </a:p>
      </cdr:txBody>
    </cdr:sp>
  </cdr:relSizeAnchor>
  <cdr:relSizeAnchor xmlns:cdr="http://schemas.openxmlformats.org/drawingml/2006/chartDrawing">
    <cdr:from>
      <cdr:x>0.70018</cdr:x>
      <cdr:y>0.62447</cdr:y>
    </cdr:from>
    <cdr:to>
      <cdr:x>0.77241</cdr:x>
      <cdr:y>0.65676</cdr:y>
    </cdr:to>
    <cdr:sp macro="" textlink="">
      <cdr:nvSpPr>
        <cdr:cNvPr id="19468" name="Text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05013" y="4226322"/>
          <a:ext cx="495372" cy="2183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Geneva"/>
            </a:rPr>
            <a:t>1000 K</a:t>
          </a:r>
        </a:p>
      </cdr:txBody>
    </cdr:sp>
  </cdr:relSizeAnchor>
  <cdr:relSizeAnchor xmlns:cdr="http://schemas.openxmlformats.org/drawingml/2006/chartDrawing">
    <cdr:from>
      <cdr:x>0.73568</cdr:x>
      <cdr:y>0.59415</cdr:y>
    </cdr:from>
    <cdr:to>
      <cdr:x>0.74012</cdr:x>
      <cdr:y>0.62447</cdr:y>
    </cdr:to>
    <cdr:sp macro="" textlink="">
      <cdr:nvSpPr>
        <cdr:cNvPr id="19469" name="Line 1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5048472" y="4021296"/>
          <a:ext cx="30433" cy="20502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3</xdr:row>
      <xdr:rowOff>47625</xdr:rowOff>
    </xdr:from>
    <xdr:to>
      <xdr:col>13</xdr:col>
      <xdr:colOff>723900</xdr:colOff>
      <xdr:row>24</xdr:row>
      <xdr:rowOff>57150</xdr:rowOff>
    </xdr:to>
    <xdr:graphicFrame macro="">
      <xdr:nvGraphicFramePr>
        <xdr:cNvPr id="307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542924</xdr:colOff>
      <xdr:row>2</xdr:row>
      <xdr:rowOff>152399</xdr:rowOff>
    </xdr:from>
    <xdr:to>
      <xdr:col>19</xdr:col>
      <xdr:colOff>161925</xdr:colOff>
      <xdr:row>25</xdr:row>
      <xdr:rowOff>47624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276225</xdr:colOff>
      <xdr:row>6</xdr:row>
      <xdr:rowOff>142875</xdr:rowOff>
    </xdr:from>
    <xdr:to>
      <xdr:col>26</xdr:col>
      <xdr:colOff>104775</xdr:colOff>
      <xdr:row>35</xdr:row>
      <xdr:rowOff>114300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37</xdr:row>
      <xdr:rowOff>133350</xdr:rowOff>
    </xdr:from>
    <xdr:to>
      <xdr:col>26</xdr:col>
      <xdr:colOff>114300</xdr:colOff>
      <xdr:row>66</xdr:row>
      <xdr:rowOff>114300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vision.vein.hu/Documents/cieD1/tc1-62/My%20Files/LED%20Project/White%20LED%20simulation/My%20Files/Meeting/OIDA%20OLED%20Workshop/My%20Files/Meeting/OIDA%20LED%20Workshop/Simulation%20of%20white%20LEDs/sRGB-XYZ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or Matching Function"/>
      <sheetName val="XYZ to sRGB"/>
      <sheetName val="sRGB(lambda)"/>
      <sheetName val="sRGB to XYZ"/>
      <sheetName val="sRGB  space"/>
    </sheetNames>
    <sheetDataSet>
      <sheetData sheetId="0">
        <row r="1">
          <cell r="E1" t="str">
            <v>Spectrum Locus</v>
          </cell>
          <cell r="L1" t="str">
            <v>Planckian Locus</v>
          </cell>
        </row>
        <row r="3">
          <cell r="E3">
            <v>0.17411225658648341</v>
          </cell>
          <cell r="F3">
            <v>4.9637266132111493E-3</v>
          </cell>
          <cell r="L3">
            <v>0.65275620751968466</v>
          </cell>
          <cell r="M3">
            <v>0.34445676934457992</v>
          </cell>
        </row>
        <row r="4">
          <cell r="E4">
            <v>0.17400791751588912</v>
          </cell>
          <cell r="F4">
            <v>4.9805486229950371E-3</v>
          </cell>
          <cell r="L4">
            <v>0.62505117588387038</v>
          </cell>
          <cell r="M4">
            <v>0.36744930632065637</v>
          </cell>
        </row>
        <row r="5">
          <cell r="E5">
            <v>0.17380077262082802</v>
          </cell>
          <cell r="F5">
            <v>4.9154119053734062E-3</v>
          </cell>
          <cell r="L5">
            <v>0.59852820378620997</v>
          </cell>
          <cell r="M5">
            <v>0.38578384100654856</v>
          </cell>
        </row>
        <row r="6">
          <cell r="E6">
            <v>0.17355990652721373</v>
          </cell>
          <cell r="F6">
            <v>4.9232025773078931E-3</v>
          </cell>
          <cell r="L6">
            <v>0.57323728894066084</v>
          </cell>
          <cell r="M6">
            <v>0.39926071607287</v>
          </cell>
        </row>
        <row r="7">
          <cell r="E7">
            <v>0.17333686548078087</v>
          </cell>
          <cell r="F7">
            <v>4.7967434472668919E-3</v>
          </cell>
          <cell r="L7">
            <v>0.54925330458821342</v>
          </cell>
          <cell r="M7">
            <v>0.4082224378070573</v>
          </cell>
        </row>
        <row r="8">
          <cell r="E8">
            <v>0.17302096545549503</v>
          </cell>
          <cell r="F8">
            <v>4.775050361859285E-3</v>
          </cell>
          <cell r="L8">
            <v>0.52668599921927717</v>
          </cell>
          <cell r="M8">
            <v>0.41329568598860222</v>
          </cell>
        </row>
        <row r="9">
          <cell r="E9">
            <v>0.17257655084880216</v>
          </cell>
          <cell r="F9">
            <v>4.7993019197207672E-3</v>
          </cell>
          <cell r="L9">
            <v>0.47700327186277741</v>
          </cell>
          <cell r="M9">
            <v>0.413676524053599</v>
          </cell>
        </row>
        <row r="10">
          <cell r="E10">
            <v>0.17208663075524816</v>
          </cell>
          <cell r="F10">
            <v>4.8325242180399458E-3</v>
          </cell>
          <cell r="L10">
            <v>0.43693937217092993</v>
          </cell>
          <cell r="M10">
            <v>0.40407682684073942</v>
          </cell>
        </row>
        <row r="11">
          <cell r="E11">
            <v>0.17140743386310878</v>
          </cell>
          <cell r="F11">
            <v>5.1021709737493308E-3</v>
          </cell>
          <cell r="L11">
            <v>0.38044640509795552</v>
          </cell>
          <cell r="M11">
            <v>0.37675110505064963</v>
          </cell>
        </row>
        <row r="12">
          <cell r="E12">
            <v>0.17030098877973635</v>
          </cell>
          <cell r="F12">
            <v>5.7885049964709941E-3</v>
          </cell>
          <cell r="L12">
            <v>0.34510665164908777</v>
          </cell>
          <cell r="M12">
            <v>0.35161243099367856</v>
          </cell>
        </row>
        <row r="13">
          <cell r="E13">
            <v>0.16887752067098924</v>
          </cell>
          <cell r="F13">
            <v>6.900243887930522E-3</v>
          </cell>
          <cell r="L13">
            <v>0.32208761374173706</v>
          </cell>
          <cell r="M13">
            <v>0.33175744569034721</v>
          </cell>
        </row>
        <row r="14">
          <cell r="E14">
            <v>0.16689529035208048</v>
          </cell>
          <cell r="F14">
            <v>8.5556063608189809E-3</v>
          </cell>
          <cell r="L14">
            <v>0.3063772106193321</v>
          </cell>
          <cell r="M14">
            <v>0.31651619769599448</v>
          </cell>
        </row>
        <row r="15">
          <cell r="E15">
            <v>0.16441175637527497</v>
          </cell>
          <cell r="F15">
            <v>1.0857558276763881E-2</v>
          </cell>
          <cell r="L15">
            <v>0.29518999987477812</v>
          </cell>
          <cell r="M15">
            <v>0.30476843002416443</v>
          </cell>
        </row>
        <row r="16">
          <cell r="E16">
            <v>0.16110457958027455</v>
          </cell>
          <cell r="F16">
            <v>1.3793358821732408E-2</v>
          </cell>
          <cell r="L16">
            <v>0.28692814349171381</v>
          </cell>
          <cell r="M16">
            <v>0.29558628295687006</v>
          </cell>
        </row>
        <row r="17">
          <cell r="E17">
            <v>0.15664093257730707</v>
          </cell>
          <cell r="F17">
            <v>1.7704804990891342E-2</v>
          </cell>
          <cell r="L17">
            <v>0.28063572811568205</v>
          </cell>
          <cell r="M17">
            <v>0.28829038659689077</v>
          </cell>
        </row>
        <row r="18">
          <cell r="E18">
            <v>0.15098540837597121</v>
          </cell>
          <cell r="F18">
            <v>2.2740193291642983E-2</v>
          </cell>
          <cell r="L18">
            <v>0.26370728919062719</v>
          </cell>
          <cell r="M18">
            <v>0.2672808773507831</v>
          </cell>
        </row>
        <row r="19">
          <cell r="E19">
            <v>0.14396039603960395</v>
          </cell>
          <cell r="F19">
            <v>2.9702970297029702E-2</v>
          </cell>
          <cell r="L19">
            <v>0.25645804544502249</v>
          </cell>
          <cell r="M19">
            <v>0.25763196188139975</v>
          </cell>
        </row>
        <row r="20">
          <cell r="E20">
            <v>0.13550267119961146</v>
          </cell>
          <cell r="F20">
            <v>3.9879121472127785E-2</v>
          </cell>
        </row>
        <row r="21">
          <cell r="E21">
            <v>0.12411847672778563</v>
          </cell>
          <cell r="F21">
            <v>5.7802513373740462E-2</v>
          </cell>
        </row>
        <row r="22">
          <cell r="E22">
            <v>0.10959432361561004</v>
          </cell>
          <cell r="F22">
            <v>8.6842511183094231E-2</v>
          </cell>
          <cell r="M22" t="str">
            <v>Illuminant A</v>
          </cell>
        </row>
        <row r="23">
          <cell r="E23">
            <v>9.1293507002271179E-2</v>
          </cell>
          <cell r="F23">
            <v>0.13270204248699016</v>
          </cell>
          <cell r="L23">
            <v>0.44754362965661959</v>
          </cell>
          <cell r="M23">
            <v>0.40743074349845942</v>
          </cell>
        </row>
        <row r="24">
          <cell r="E24">
            <v>6.870592129105553E-2</v>
          </cell>
          <cell r="F24">
            <v>0.20072321772810223</v>
          </cell>
        </row>
        <row r="25">
          <cell r="E25">
            <v>4.5390734674777722E-2</v>
          </cell>
          <cell r="F25">
            <v>0.2949759646062875</v>
          </cell>
          <cell r="M25" t="str">
            <v>D65</v>
          </cell>
        </row>
        <row r="26">
          <cell r="E26">
            <v>2.3459942547079473E-2</v>
          </cell>
          <cell r="F26">
            <v>0.41270347909352056</v>
          </cell>
          <cell r="L26">
            <v>0.3127205252653959</v>
          </cell>
          <cell r="M26">
            <v>0.32903068494840537</v>
          </cell>
        </row>
        <row r="27">
          <cell r="E27">
            <v>8.1680280046674426E-3</v>
          </cell>
          <cell r="F27">
            <v>0.53842307051175187</v>
          </cell>
        </row>
        <row r="28">
          <cell r="E28">
            <v>3.8585209003215433E-3</v>
          </cell>
          <cell r="F28">
            <v>0.6548231511254019</v>
          </cell>
        </row>
        <row r="29">
          <cell r="E29">
            <v>1.3870246085011185E-2</v>
          </cell>
          <cell r="F29">
            <v>0.750186428038777</v>
          </cell>
        </row>
        <row r="30">
          <cell r="E30">
            <v>3.8851802403204273E-2</v>
          </cell>
          <cell r="F30">
            <v>0.81201602136181572</v>
          </cell>
        </row>
        <row r="31">
          <cell r="E31">
            <v>7.4302424773374967E-2</v>
          </cell>
          <cell r="F31">
            <v>0.8338030913402279</v>
          </cell>
        </row>
        <row r="32">
          <cell r="E32">
            <v>0.11416071960667966</v>
          </cell>
          <cell r="F32">
            <v>0.82620695978118885</v>
          </cell>
        </row>
        <row r="33">
          <cell r="E33">
            <v>0.15472206121571341</v>
          </cell>
          <cell r="F33">
            <v>0.8058635454256492</v>
          </cell>
        </row>
        <row r="34">
          <cell r="E34">
            <v>0.19287609787772117</v>
          </cell>
          <cell r="F34">
            <v>0.78162921636307703</v>
          </cell>
        </row>
        <row r="35">
          <cell r="E35">
            <v>0.22961967264964023</v>
          </cell>
          <cell r="F35">
            <v>0.75432908990274372</v>
          </cell>
        </row>
        <row r="36">
          <cell r="E36">
            <v>0.26577508497118374</v>
          </cell>
          <cell r="F36">
            <v>0.72432392492980646</v>
          </cell>
        </row>
        <row r="37">
          <cell r="E37">
            <v>0.30160379918588875</v>
          </cell>
          <cell r="F37">
            <v>0.69230776188985144</v>
          </cell>
        </row>
        <row r="38">
          <cell r="E38">
            <v>0.33736333262858526</v>
          </cell>
          <cell r="F38">
            <v>0.65884828970560749</v>
          </cell>
        </row>
        <row r="39">
          <cell r="E39">
            <v>0.3731015438684574</v>
          </cell>
          <cell r="F39">
            <v>0.62445085979666115</v>
          </cell>
        </row>
        <row r="40">
          <cell r="E40">
            <v>0.40873625546015963</v>
          </cell>
          <cell r="F40">
            <v>0.58960686850429278</v>
          </cell>
        </row>
        <row r="41">
          <cell r="E41">
            <v>0.44406246358233309</v>
          </cell>
          <cell r="F41">
            <v>0.5547139028085305</v>
          </cell>
        </row>
        <row r="42">
          <cell r="E42">
            <v>0.4787747911575837</v>
          </cell>
          <cell r="F42">
            <v>0.52020230721145644</v>
          </cell>
        </row>
        <row r="43">
          <cell r="E43">
            <v>0.51248636706843032</v>
          </cell>
          <cell r="F43">
            <v>0.48659078833300712</v>
          </cell>
        </row>
        <row r="44">
          <cell r="E44">
            <v>0.54478650559483377</v>
          </cell>
          <cell r="F44">
            <v>0.45443411456883592</v>
          </cell>
        </row>
        <row r="45">
          <cell r="E45">
            <v>0.57515131136516473</v>
          </cell>
          <cell r="F45">
            <v>0.42423223492490469</v>
          </cell>
        </row>
        <row r="46">
          <cell r="E46">
            <v>0.60293278557571617</v>
          </cell>
          <cell r="F46">
            <v>0.39649663357297732</v>
          </cell>
        </row>
        <row r="47">
          <cell r="E47">
            <v>0.62703659976387249</v>
          </cell>
          <cell r="F47">
            <v>0.37249114521841797</v>
          </cell>
        </row>
        <row r="48">
          <cell r="E48">
            <v>0.64823310601363926</v>
          </cell>
          <cell r="F48">
            <v>0.35139491630502168</v>
          </cell>
        </row>
        <row r="49">
          <cell r="E49">
            <v>0.66576357623809712</v>
          </cell>
          <cell r="F49">
            <v>0.33401065115476053</v>
          </cell>
        </row>
        <row r="50">
          <cell r="E50">
            <v>0.68007884972170685</v>
          </cell>
          <cell r="F50">
            <v>0.31974721706864562</v>
          </cell>
        </row>
        <row r="51">
          <cell r="E51">
            <v>0.69150397296170196</v>
          </cell>
          <cell r="F51">
            <v>0.30834226055665576</v>
          </cell>
        </row>
        <row r="52">
          <cell r="E52">
            <v>0.70060606060606057</v>
          </cell>
          <cell r="F52">
            <v>0.2993006993006993</v>
          </cell>
        </row>
        <row r="53">
          <cell r="E53">
            <v>0.70791779161386303</v>
          </cell>
          <cell r="F53">
            <v>0.29202710893162159</v>
          </cell>
        </row>
        <row r="54">
          <cell r="E54">
            <v>0.71403159711699371</v>
          </cell>
          <cell r="F54">
            <v>0.28592887354564978</v>
          </cell>
        </row>
        <row r="55">
          <cell r="E55">
            <v>0.71903294162974374</v>
          </cell>
          <cell r="F55">
            <v>0.28093495151865405</v>
          </cell>
        </row>
        <row r="56">
          <cell r="E56">
            <v>0.72303160257309473</v>
          </cell>
          <cell r="F56">
            <v>0.2769483577483417</v>
          </cell>
        </row>
        <row r="57">
          <cell r="E57">
            <v>0.72599231754161331</v>
          </cell>
          <cell r="F57">
            <v>0.27400768245838669</v>
          </cell>
        </row>
        <row r="58">
          <cell r="E58">
            <v>0.72827172827172826</v>
          </cell>
          <cell r="F58">
            <v>0.27172827172827174</v>
          </cell>
        </row>
        <row r="59">
          <cell r="E59">
            <v>0.72996901283753868</v>
          </cell>
          <cell r="F59">
            <v>0.27003098716246127</v>
          </cell>
        </row>
        <row r="60">
          <cell r="E60">
            <v>0.73108939558450958</v>
          </cell>
          <cell r="F60">
            <v>0.26891060441549042</v>
          </cell>
        </row>
        <row r="61">
          <cell r="E61">
            <v>0.73199329983249584</v>
          </cell>
          <cell r="F61">
            <v>0.26800670016750416</v>
          </cell>
        </row>
        <row r="62">
          <cell r="E62">
            <v>0.73271889400921664</v>
          </cell>
          <cell r="F62">
            <v>0.26728110599078336</v>
          </cell>
        </row>
        <row r="63">
          <cell r="E63">
            <v>0.73341696722596839</v>
          </cell>
          <cell r="F63">
            <v>0.26658303277403173</v>
          </cell>
        </row>
        <row r="64">
          <cell r="E64">
            <v>0.73404730031236054</v>
          </cell>
          <cell r="F64">
            <v>0.26595269968763946</v>
          </cell>
        </row>
        <row r="65">
          <cell r="E65">
            <v>0.7343901649951472</v>
          </cell>
          <cell r="F65">
            <v>0.2656098350048528</v>
          </cell>
        </row>
        <row r="66">
          <cell r="E66">
            <v>0.73459166164262857</v>
          </cell>
          <cell r="F66">
            <v>0.26540833835737143</v>
          </cell>
        </row>
        <row r="67">
          <cell r="E67">
            <v>0.73469002325828081</v>
          </cell>
          <cell r="F67">
            <v>0.26530997674171924</v>
          </cell>
        </row>
        <row r="68">
          <cell r="E68">
            <v>0.73469010645004673</v>
          </cell>
          <cell r="F68">
            <v>0.26530989354995321</v>
          </cell>
        </row>
        <row r="69">
          <cell r="E69">
            <v>0.73469012288503877</v>
          </cell>
          <cell r="F69">
            <v>0.26530987711496129</v>
          </cell>
        </row>
        <row r="70">
          <cell r="E70">
            <v>0.73469015600361853</v>
          </cell>
          <cell r="F70">
            <v>0.26530984399638152</v>
          </cell>
        </row>
        <row r="71">
          <cell r="E71">
            <v>0.73469020583681555</v>
          </cell>
          <cell r="F71">
            <v>0.26530979416318456</v>
          </cell>
        </row>
        <row r="72">
          <cell r="E72">
            <v>0.7346899996056202</v>
          </cell>
          <cell r="F72">
            <v>0.26531000039437969</v>
          </cell>
        </row>
        <row r="73">
          <cell r="E73">
            <v>0.73468981668086752</v>
          </cell>
          <cell r="F73">
            <v>0.26531018331913242</v>
          </cell>
        </row>
        <row r="74">
          <cell r="E74">
            <v>0.73469012894456487</v>
          </cell>
          <cell r="F74">
            <v>0.26530987105543513</v>
          </cell>
        </row>
        <row r="75">
          <cell r="E75">
            <v>0.73469040115833406</v>
          </cell>
          <cell r="F75">
            <v>0.26530959884166594</v>
          </cell>
        </row>
        <row r="76">
          <cell r="E76">
            <v>0.73468946783553535</v>
          </cell>
          <cell r="F76">
            <v>0.26531053216446476</v>
          </cell>
        </row>
        <row r="77">
          <cell r="E77">
            <v>0.73468936546539909</v>
          </cell>
          <cell r="F77">
            <v>0.26531063453460096</v>
          </cell>
        </row>
        <row r="78">
          <cell r="E78">
            <v>0.73469323905766037</v>
          </cell>
          <cell r="F78">
            <v>0.26530676094233957</v>
          </cell>
        </row>
        <row r="79">
          <cell r="E79">
            <v>0.73468936546539909</v>
          </cell>
          <cell r="F79">
            <v>0.26531063453460096</v>
          </cell>
        </row>
        <row r="80">
          <cell r="E80">
            <v>0.73468493836430759</v>
          </cell>
          <cell r="F80">
            <v>0.26531506163569241</v>
          </cell>
        </row>
        <row r="81">
          <cell r="E81">
            <v>0.73468936546539909</v>
          </cell>
          <cell r="F81">
            <v>0.26531063453460096</v>
          </cell>
        </row>
        <row r="82">
          <cell r="E82">
            <v>0.73469157896054171</v>
          </cell>
          <cell r="F82">
            <v>0.2653084210394584</v>
          </cell>
        </row>
        <row r="83">
          <cell r="E83">
            <v>0.73469026548672567</v>
          </cell>
          <cell r="F83">
            <v>0.26530973451327433</v>
          </cell>
        </row>
        <row r="84">
          <cell r="E84">
            <v>0.17411225658648341</v>
          </cell>
          <cell r="F84">
            <v>4.9637266132111493E-3</v>
          </cell>
        </row>
      </sheetData>
      <sheetData sheetId="1"/>
      <sheetData sheetId="2"/>
      <sheetData sheetId="3"/>
      <sheetData sheetId="4">
        <row r="1">
          <cell r="A1" t="str">
            <v>sRGB</v>
          </cell>
        </row>
        <row r="2">
          <cell r="H2">
            <v>0.64007449945677475</v>
          </cell>
          <cell r="I2">
            <v>0.32997051063169336</v>
          </cell>
        </row>
        <row r="3">
          <cell r="H3">
            <v>0.3</v>
          </cell>
          <cell r="I3">
            <v>0.6</v>
          </cell>
        </row>
        <row r="4">
          <cell r="H4">
            <v>0.15001662234042551</v>
          </cell>
          <cell r="I4">
            <v>6.0006648936170214E-2</v>
          </cell>
        </row>
        <row r="5">
          <cell r="H5">
            <v>0.64007449945677475</v>
          </cell>
          <cell r="I5">
            <v>0.32997051063169336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3"/>
  <sheetViews>
    <sheetView topLeftCell="A3" workbookViewId="0">
      <selection activeCell="A4" sqref="A4"/>
    </sheetView>
  </sheetViews>
  <sheetFormatPr defaultColWidth="11.375" defaultRowHeight="11.4"/>
  <cols>
    <col min="1" max="1" width="11.375" customWidth="1"/>
    <col min="2" max="2" width="7.25" customWidth="1"/>
    <col min="3" max="5" width="10.75" customWidth="1"/>
    <col min="6" max="6" width="2" customWidth="1"/>
    <col min="7" max="7" width="11.25" customWidth="1"/>
  </cols>
  <sheetData>
    <row r="1" spans="1:8">
      <c r="A1" t="s">
        <v>122</v>
      </c>
      <c r="B1" t="s">
        <v>123</v>
      </c>
      <c r="F1" s="18" t="s">
        <v>111</v>
      </c>
      <c r="G1" s="16">
        <v>0.32263795857846173</v>
      </c>
    </row>
    <row r="2" spans="1:8">
      <c r="A2" t="b">
        <f>RESULT(64)</f>
        <v>1</v>
      </c>
      <c r="C2" t="s">
        <v>124</v>
      </c>
      <c r="D2">
        <v>0.20109233320217937</v>
      </c>
      <c r="E2">
        <v>0.31654477283431515</v>
      </c>
      <c r="F2" s="18" t="s">
        <v>112</v>
      </c>
      <c r="G2" s="16">
        <v>0.33858197601617801</v>
      </c>
    </row>
    <row r="3" spans="1:8">
      <c r="A3" t="b">
        <f>ARGUMENT("xy",64,G1:G2)</f>
        <v>1</v>
      </c>
      <c r="E3" t="s">
        <v>125</v>
      </c>
      <c r="G3" t="s">
        <v>65</v>
      </c>
      <c r="H3" t="s">
        <v>66</v>
      </c>
    </row>
    <row r="4" spans="1:8" ht="13.2">
      <c r="A4">
        <f>4*G1/(12*G2-2*G1+3)</f>
        <v>0.20109233320217937</v>
      </c>
      <c r="C4" s="19" t="s">
        <v>13</v>
      </c>
      <c r="D4" s="20">
        <v>5877.6609894678659</v>
      </c>
      <c r="E4" s="21">
        <v>3.341148841432425E-3</v>
      </c>
      <c r="F4" s="21"/>
      <c r="G4" s="21">
        <v>1.1163275580605236E-5</v>
      </c>
    </row>
    <row r="5" spans="1:8" ht="13.2">
      <c r="A5" t="b">
        <f>SET.VALUE(D2,A4)</f>
        <v>1</v>
      </c>
      <c r="C5" s="19" t="s">
        <v>127</v>
      </c>
      <c r="D5" s="22">
        <v>5936.4375993625445</v>
      </c>
      <c r="E5" s="23">
        <v>3.2508918806012713E-3</v>
      </c>
      <c r="F5" s="21"/>
      <c r="G5" s="21">
        <v>1.056829801935927E-5</v>
      </c>
    </row>
    <row r="6" spans="1:8" ht="13.2">
      <c r="A6">
        <f>6*G2/(12*G2-2*G1+3)</f>
        <v>0.31654477283431515</v>
      </c>
      <c r="C6" s="19">
        <v>1.2296610434305432E-3</v>
      </c>
      <c r="D6" s="20">
        <v>5995.8019753561703</v>
      </c>
      <c r="E6" s="21">
        <v>3.2795467750675409E-3</v>
      </c>
      <c r="F6" s="21"/>
      <c r="G6" s="21">
        <v>1.0755427049855908E-5</v>
      </c>
    </row>
    <row r="7" spans="1:8" ht="13.2">
      <c r="A7" t="b">
        <f>SET.VALUE(E2,A6)</f>
        <v>1</v>
      </c>
      <c r="C7" s="19">
        <v>118.14098588830439</v>
      </c>
      <c r="D7" s="24">
        <v>5952.1168780750832</v>
      </c>
      <c r="G7" s="21">
        <v>5952.6645232112187</v>
      </c>
    </row>
    <row r="8" spans="1:8" ht="13.2">
      <c r="A8" t="b">
        <f>GOTO(G10)</f>
        <v>1</v>
      </c>
      <c r="D8" s="25">
        <v>3.248666276093032E-3</v>
      </c>
      <c r="E8" s="26"/>
      <c r="G8" s="21"/>
      <c r="H8" t="s">
        <v>66</v>
      </c>
    </row>
    <row r="9" spans="1:8">
      <c r="A9">
        <f>INDEX($C$10:$C$312,MATCH(MIN($G$10:$G$248),$G$10:$G$248,0),1)</f>
        <v>5936.4375993625445</v>
      </c>
      <c r="B9" t="s">
        <v>128</v>
      </c>
      <c r="C9" s="27" t="s">
        <v>129</v>
      </c>
      <c r="D9" s="27" t="s">
        <v>130</v>
      </c>
      <c r="E9" s="27" t="s">
        <v>131</v>
      </c>
      <c r="F9" s="27"/>
      <c r="G9" s="27" t="s">
        <v>132</v>
      </c>
    </row>
    <row r="10" spans="1:8">
      <c r="A10" t="b">
        <f>SET.VALUE(D5,A9)</f>
        <v>1</v>
      </c>
      <c r="B10" t="s">
        <v>133</v>
      </c>
      <c r="C10" s="20">
        <v>1000</v>
      </c>
      <c r="D10" s="16">
        <v>0.44801626639106851</v>
      </c>
      <c r="E10" s="28">
        <v>0.35462451514925131</v>
      </c>
      <c r="G10">
        <f>((D10-$D$2)^2+(E10-$E$2)^2)</f>
        <v>6.2421495556242927E-2</v>
      </c>
    </row>
    <row r="11" spans="1:8">
      <c r="A11">
        <f>INDEX($D$10:$D$312,MATCH(MIN($G$10:$G$312),$G$10:$G$312,0)+1,1)</f>
        <v>0.20333554433413178</v>
      </c>
      <c r="B11" t="s">
        <v>134</v>
      </c>
      <c r="C11" s="20">
        <v>1010</v>
      </c>
      <c r="D11" s="28">
        <v>0.44568666048960798</v>
      </c>
      <c r="E11" s="28">
        <v>0.35482571391834128</v>
      </c>
      <c r="G11">
        <f>((D11-$D$2)^2+(E11-$E$2)^2)</f>
        <v>6.129181539146842E-2</v>
      </c>
    </row>
    <row r="12" spans="1:8">
      <c r="A12">
        <f>INDEX($E$10:$E$312,MATCH(MIN($G$10:$G$312),$G$10:$G$312,0)+1,1)</f>
        <v>0.31415240353436569</v>
      </c>
      <c r="B12" t="s">
        <v>135</v>
      </c>
      <c r="C12" s="20">
        <v>1020.1</v>
      </c>
      <c r="D12" s="28">
        <v>0.44335884173223444</v>
      </c>
      <c r="E12" s="28">
        <v>0.35502516872182444</v>
      </c>
      <c r="G12">
        <f>((D12-$D$2)^2+(E12-$E$2)^2)</f>
        <v>6.0173802023002688E-2</v>
      </c>
    </row>
    <row r="13" spans="1:8">
      <c r="A13">
        <f>INDEX($D$10:$D$312,MATCH(MIN($G$10:$G$312),$G$10:$G$312,0)-1,1)</f>
        <v>0.2041089622982733</v>
      </c>
      <c r="B13" t="s">
        <v>136</v>
      </c>
      <c r="C13" s="20">
        <v>1030.3009999999999</v>
      </c>
      <c r="D13" s="28">
        <v>0.44103319269627189</v>
      </c>
      <c r="E13" s="28">
        <v>0.35522278034970095</v>
      </c>
      <c r="G13">
        <f>((D13-$D$2)^2+(E13-$E$2)^2)</f>
        <v>5.906760432012409E-2</v>
      </c>
    </row>
    <row r="14" spans="1:8">
      <c r="A14">
        <f>INDEX($E$10:$E$312,MATCH(MIN($G$10:$G$312),$G$10:$G$312,0)-1,1)</f>
        <v>0.31510837996423929</v>
      </c>
      <c r="B14" t="s">
        <v>137</v>
      </c>
      <c r="C14" s="20">
        <v>1040.60401</v>
      </c>
      <c r="D14" s="28">
        <v>0.43871009005872674</v>
      </c>
      <c r="E14" s="28">
        <v>0.355418448820851</v>
      </c>
      <c r="G14">
        <f>((D14-$D$2)^2+(E14-$E$2)^2)</f>
        <v>5.7973361058243446E-2</v>
      </c>
    </row>
    <row r="15" spans="1:8">
      <c r="A15">
        <f>SQRT((A11-A13)^2+(A12-A14)^2)</f>
        <v>1.2296610434305432E-3</v>
      </c>
      <c r="B15" t="s">
        <v>138</v>
      </c>
      <c r="C15" s="20">
        <v>1051.0100500999999</v>
      </c>
      <c r="D15" s="28">
        <v>0.43638990449461579</v>
      </c>
      <c r="E15" s="28">
        <v>0.35561207341564227</v>
      </c>
      <c r="G15">
        <f>((D15-$D$2)^2+(E15-$E$2)^2)</f>
        <v>5.6891201030830958E-2</v>
      </c>
    </row>
    <row r="16" spans="1:8">
      <c r="A16" t="b">
        <f>SET.VALUE(C6,A15)</f>
        <v>1</v>
      </c>
      <c r="C16" s="20">
        <v>1061.5201506009998</v>
      </c>
      <c r="D16" s="28">
        <v>0.43407300058426612</v>
      </c>
      <c r="E16" s="28">
        <v>0.35580355271062419</v>
      </c>
      <c r="G16">
        <f>((D16-$D$2)^2+(E16-$E$2)^2)</f>
        <v>5.5821243171179036E-2</v>
      </c>
    </row>
    <row r="17" spans="1:7">
      <c r="A17">
        <f>INDEX($C$10:$C$312,MATCH(MIN($G$10:$G$312),$G$10:$G$312,0)+1,1)</f>
        <v>5995.8019753561703</v>
      </c>
      <c r="B17" t="s">
        <v>139</v>
      </c>
      <c r="C17" s="20">
        <v>1072.1353521070098</v>
      </c>
      <c r="D17" s="28">
        <v>0.43175973672950785</v>
      </c>
      <c r="E17" s="28">
        <v>0.35599278461534933</v>
      </c>
      <c r="G17">
        <f>((D17-$D$2)^2+(E17-$E$2)^2)</f>
        <v>5.4763596683516005E-2</v>
      </c>
    </row>
    <row r="18" spans="1:7">
      <c r="A18" t="b">
        <f>SET.VALUE(D6,A17)</f>
        <v>1</v>
      </c>
      <c r="B18" t="s">
        <v>140</v>
      </c>
      <c r="C18" s="20">
        <v>1082.8567056280799</v>
      </c>
      <c r="D18" s="28">
        <v>0.42945046507865325</v>
      </c>
      <c r="E18" s="28">
        <v>0.35617966641135695</v>
      </c>
      <c r="G18">
        <f>((D18-$D$2)^2+(E18-$E$2)^2)</f>
        <v>5.3718361182976467E-2</v>
      </c>
    </row>
    <row r="19" spans="1:7">
      <c r="A19">
        <f>INDEX($G$10:$G$312,MATCH(MIN($G$10:$G$312),$G$10:$G$312,0)+1,1)</f>
        <v>1.0755427049855908E-5</v>
      </c>
      <c r="B19" t="s">
        <v>141</v>
      </c>
      <c r="C19" s="20">
        <v>1093.6852726843608</v>
      </c>
      <c r="D19" s="28">
        <v>0.42714553146014589</v>
      </c>
      <c r="E19" s="28">
        <v>0.35636409479335029</v>
      </c>
      <c r="G19">
        <f>((D19-$D$2)^2+(E19-$E$2)^2)</f>
        <v>5.2685626843932819E-2</v>
      </c>
    </row>
    <row r="20" spans="1:7">
      <c r="A20" t="b">
        <f>SET.VALUE(G6,A19)</f>
        <v>1</v>
      </c>
      <c r="B20" t="s">
        <v>142</v>
      </c>
      <c r="C20" s="20">
        <v>1104.6221254112045</v>
      </c>
      <c r="D20" s="28">
        <v>0.42484527532472649</v>
      </c>
      <c r="E20" s="28">
        <v>0.35654596591259197</v>
      </c>
      <c r="G20">
        <f>((D20-$D$2)^2+(E20-$E$2)^2)</f>
        <v>5.16654745561815E-2</v>
      </c>
    </row>
    <row r="21" spans="1:7">
      <c r="A21">
        <f>INDEX($C$10:$C$312,MATCH(MIN($G$10:$G$312),$G$10:$G$312,0)-1,1)</f>
        <v>5877.6609894678659</v>
      </c>
      <c r="B21" t="s">
        <v>143</v>
      </c>
      <c r="C21" s="20">
        <v>1115.6683466653164</v>
      </c>
      <c r="D21" s="28">
        <v>0.42255002969595312</v>
      </c>
      <c r="E21" s="28">
        <v>0.35672517542253424</v>
      </c>
      <c r="G21">
        <f>((D21-$D$2)^2+(E21-$E$2)^2)</f>
        <v>5.0657976088479779E-2</v>
      </c>
    </row>
    <row r="22" spans="1:7">
      <c r="A22" t="b">
        <f>SET.VALUE(D4,A21)</f>
        <v>1</v>
      </c>
      <c r="B22" t="s">
        <v>144</v>
      </c>
      <c r="C22" s="20">
        <v>1126.8250301319697</v>
      </c>
      <c r="D22" s="28">
        <v>0.42026012112887362</v>
      </c>
      <c r="E22" s="28">
        <v>0.35690161852670343</v>
      </c>
      <c r="G22">
        <f>((D22-$D$2)^2+(E22-$E$2)^2)</f>
        <v>4.9663194258919664E-2</v>
      </c>
    </row>
    <row r="23" spans="1:7">
      <c r="A23">
        <f>INDEX($G$10:$G$312,MATCH(MIN($G$10:$G$312),$G$10:$G$312,0)-1,1)</f>
        <v>1.1163275580605236E-5</v>
      </c>
      <c r="B23" t="s">
        <v>145</v>
      </c>
      <c r="C23" s="20">
        <v>1138.0932804332895</v>
      </c>
      <c r="D23" s="28">
        <v>0.41797586967668221</v>
      </c>
      <c r="E23" s="28">
        <v>0.35707519002883592</v>
      </c>
      <c r="G23">
        <f>((D23-$D$2)^2+(E23-$E$2)^2)</f>
        <v>4.8681183111648915E-2</v>
      </c>
    </row>
    <row r="24" spans="1:7">
      <c r="A24" t="b">
        <f>SET.VALUE(G4,A23)</f>
        <v>1</v>
      </c>
      <c r="B24" t="s">
        <v>146</v>
      </c>
      <c r="C24" s="20">
        <v>1149.4742132376223</v>
      </c>
      <c r="D24" s="28">
        <v>0.41569758886508773</v>
      </c>
      <c r="E24" s="28">
        <v>0.3572457843852746</v>
      </c>
      <c r="G24">
        <f>((D24-$D$2)^2+(E24-$E$2)^2)</f>
        <v>4.7711988099413592E-2</v>
      </c>
    </row>
    <row r="25" spans="1:7">
      <c r="A25">
        <f>MIN($G$10:$G$312)</f>
        <v>1.056829801935927E-5</v>
      </c>
      <c r="B25" t="s">
        <v>147</v>
      </c>
      <c r="C25" s="20">
        <v>1160.9689553699984</v>
      </c>
      <c r="D25" s="28">
        <v>0.41342558567421717</v>
      </c>
      <c r="E25" s="28">
        <v>0.35741329575961134</v>
      </c>
      <c r="G25">
        <f>((D25-$D$2)^2+(E25-$E$2)^2)</f>
        <v>4.6755646271449611E-2</v>
      </c>
    </row>
    <row r="26" spans="1:7">
      <c r="A26" t="b">
        <f>SET.VALUE(G5,A25)</f>
        <v>1</v>
      </c>
      <c r="B26" t="s">
        <v>148</v>
      </c>
      <c r="C26" s="20">
        <v>1172.5786449236984</v>
      </c>
      <c r="D26" s="28">
        <v>0.41116016052775028</v>
      </c>
      <c r="E26" s="28">
        <v>0.35757761807956678</v>
      </c>
      <c r="G26">
        <f>((D26-$D$2)^2+(E26-$E$2)^2)</f>
        <v>4.5812186466206647E-2</v>
      </c>
    </row>
    <row r="27" spans="1:7">
      <c r="A27">
        <f>SQRT(G5)</f>
        <v>3.2508918806012713E-3</v>
      </c>
      <c r="B27" t="s">
        <v>149</v>
      </c>
      <c r="C27" s="20">
        <v>1184.3044313729354</v>
      </c>
      <c r="D27" s="28">
        <v>0.40890160728906061</v>
      </c>
      <c r="E27" s="28">
        <v>0.35773864509608438</v>
      </c>
      <c r="G27">
        <f>((D27-$D$2)^2+(E27-$E$2)^2)</f>
        <v>4.4881629508435494E-2</v>
      </c>
    </row>
    <row r="28" spans="1:7">
      <c r="A28" t="b">
        <f>SET.VALUE(E5,A27)</f>
        <v>1</v>
      </c>
      <c r="B28" t="s">
        <v>66</v>
      </c>
      <c r="C28" s="20">
        <v>1196.1474756866646</v>
      </c>
      <c r="D28" s="28">
        <v>0.40665021326408285</v>
      </c>
      <c r="E28" s="28">
        <v>0.3578962704446072</v>
      </c>
      <c r="G28">
        <f>((D28-$D$2)^2+(E28-$E$2)^2)</f>
        <v>4.3963988410157882E-2</v>
      </c>
    </row>
    <row r="29" spans="1:7">
      <c r="A29">
        <f>SQRT(G4)</f>
        <v>3.341148841432425E-3</v>
      </c>
      <c r="B29" t="s">
        <v>23</v>
      </c>
      <c r="C29" s="20">
        <v>1208.1089504435313</v>
      </c>
      <c r="D29" s="28">
        <v>0.40440625921061074</v>
      </c>
      <c r="E29" s="28">
        <v>0.35805038770850867</v>
      </c>
      <c r="G29">
        <f>((D29-$D$2)^2+(E29-$E$2)^2)</f>
        <v>4.3059268575046779E-2</v>
      </c>
    </row>
    <row r="30" spans="1:7">
      <c r="A30" t="b">
        <f>SET.VALUE(E4,A29)</f>
        <v>1</v>
      </c>
      <c r="B30" t="s">
        <v>66</v>
      </c>
      <c r="C30" s="20">
        <v>1220.1900399479666</v>
      </c>
      <c r="D30" s="28">
        <v>0.4021700193537594</v>
      </c>
      <c r="E30" s="28">
        <v>0.35820089048462461</v>
      </c>
      <c r="G30">
        <f>((D30-$D$2)^2+(E30-$E$2)^2)</f>
        <v>4.2167468005769745E-2</v>
      </c>
    </row>
    <row r="31" spans="1:7">
      <c r="A31">
        <f>SQRT(G6)</f>
        <v>3.2795467750675409E-3</v>
      </c>
      <c r="B31" t="s">
        <v>24</v>
      </c>
      <c r="C31" s="20">
        <v>1232.3919403474463</v>
      </c>
      <c r="D31" s="28">
        <v>0.39994176140728221</v>
      </c>
      <c r="E31" s="28">
        <v>0.35834767245084431</v>
      </c>
      <c r="G31">
        <f>((D31-$D$2)^2+(E31-$E$2)^2)</f>
        <v>4.1288577513845966E-2</v>
      </c>
    </row>
    <row r="32" spans="1:7">
      <c r="A32" t="b">
        <f>SET.VALUE(E6,A31)</f>
        <v>1</v>
      </c>
      <c r="B32" t="s">
        <v>66</v>
      </c>
      <c r="C32" s="20">
        <v>1244.7158597509208</v>
      </c>
      <c r="D32" s="28">
        <v>0.39772174660043452</v>
      </c>
      <c r="E32" s="28">
        <v>0.35849062743569649</v>
      </c>
      <c r="G32">
        <f>((D32-$D$2)^2+(E32-$E$2)^2)</f>
        <v>4.0422580931582151E-2</v>
      </c>
    </row>
    <row r="33" spans="1:7">
      <c r="A33">
        <f>$D$6-$D$4</f>
        <v>118.14098588830439</v>
      </c>
      <c r="B33" t="s">
        <v>25</v>
      </c>
      <c r="C33" s="20">
        <v>1257.1630183484301</v>
      </c>
      <c r="D33" s="28">
        <v>0.39551022971010191</v>
      </c>
      <c r="E33" s="28">
        <v>0.35862964948986498</v>
      </c>
      <c r="G33">
        <f>((D33-$D$2)^2+(E33-$E$2)^2)</f>
        <v>3.9569455325678127E-2</v>
      </c>
    </row>
    <row r="34" spans="1:7">
      <c r="A34" t="b">
        <f>SET.VALUE(C7,A33)</f>
        <v>1</v>
      </c>
      <c r="C34" s="20">
        <v>1269.7346485319144</v>
      </c>
      <c r="D34" s="28">
        <v>0.39330745909786807</v>
      </c>
      <c r="E34" s="28">
        <v>0.35876463295956307</v>
      </c>
      <c r="G34">
        <f>((D34-$D$2)^2+(E34-$E$2)^2)</f>
        <v>3.8729171212090956E-2</v>
      </c>
    </row>
    <row r="35" spans="1:7">
      <c r="A35">
        <f>(A23+A15^2-A19)/(2*A15)</f>
        <v>7.8066830804194123E-4</v>
      </c>
      <c r="B35" t="s">
        <v>26</v>
      </c>
      <c r="C35" s="20">
        <v>1282.4319950172337</v>
      </c>
      <c r="D35" s="28">
        <v>0.39111367675171876</v>
      </c>
      <c r="E35" s="28">
        <v>0.35889547256168219</v>
      </c>
      <c r="G35">
        <f>((D35-$D$2)^2+(E35-$E$2)^2)</f>
        <v>3.7901692771769684E-2</v>
      </c>
    </row>
    <row r="36" spans="1:7">
      <c r="A36">
        <f>A35*A33/A15</f>
        <v>75.003533743353032</v>
      </c>
      <c r="B36" t="s">
        <v>27</v>
      </c>
      <c r="C36" s="20">
        <v>1295.2563149674061</v>
      </c>
      <c r="D36" s="28">
        <v>0.38892911833207078</v>
      </c>
      <c r="E36" s="28">
        <v>0.3590220634606307</v>
      </c>
      <c r="G36">
        <f>((D36-$D$2)^2+(E36-$E$2)^2)</f>
        <v>3.7086978066885469E-2</v>
      </c>
    </row>
    <row r="37" spans="1:7">
      <c r="A37" t="b">
        <f>SET.VALUE(G7,D4+A36)</f>
        <v>1</v>
      </c>
      <c r="C37" s="20">
        <v>1308.2088781170801</v>
      </c>
      <c r="D37" s="28">
        <v>0.38675401322183112</v>
      </c>
      <c r="E37" s="28">
        <v>0.35914430134676245</v>
      </c>
      <c r="G37">
        <f>((D37-$D$2)^2+(E37-$E$2)^2)</f>
        <v>3.6284979257202359E-2</v>
      </c>
    </row>
    <row r="38" spans="1:7">
      <c r="A38">
        <f>SQRT(A23-A35^2)</f>
        <v>3.248666276093032E-3</v>
      </c>
      <c r="B38" t="s">
        <v>28</v>
      </c>
      <c r="C38" s="20">
        <v>1321.2909668982509</v>
      </c>
      <c r="D38" s="28">
        <v>0.3845885845801626</v>
      </c>
      <c r="E38" s="28">
        <v>0.35926208251629832</v>
      </c>
      <c r="G38">
        <f>((D38-$D$2)^2+(E38-$E$2)^2)</f>
        <v>3.5495642816238467E-2</v>
      </c>
    </row>
    <row r="39" spans="1:7">
      <c r="A39" t="b">
        <f>SET.VALUE(D8,A38)</f>
        <v>1</v>
      </c>
      <c r="C39" s="20">
        <v>1334.5038765672334</v>
      </c>
      <c r="D39" s="28">
        <v>0.38243304939966466</v>
      </c>
      <c r="E39" s="28">
        <v>0.35937530395262796</v>
      </c>
      <c r="G39">
        <f>((D39-$D$2)^2+(E39-$E$2)^2)</f>
        <v>3.4718909746893664E-2</v>
      </c>
    </row>
    <row r="40" spans="1:7">
      <c r="A40">
        <f>G7*(1-0.000092)</f>
        <v>5952.1168780750832</v>
      </c>
      <c r="B40" t="s">
        <v>29</v>
      </c>
      <c r="C40" s="20">
        <v>1347.8489153329058</v>
      </c>
      <c r="D40" s="28">
        <v>0.38028761856667992</v>
      </c>
      <c r="E40" s="28">
        <v>0.35948386340887756</v>
      </c>
      <c r="G40">
        <f>((D40-$D$2)^2+(E40-$E$2)^2)</f>
        <v>3.3954715796235255E-2</v>
      </c>
    </row>
    <row r="41" spans="1:7">
      <c r="A41" t="b">
        <f>SET.VALUE(D7,A40)</f>
        <v>1</v>
      </c>
      <c r="C41" s="20">
        <v>1361.3274044862349</v>
      </c>
      <c r="D41" s="28">
        <v>0.37815249692441288</v>
      </c>
      <c r="E41" s="28">
        <v>0.3595876594916233</v>
      </c>
      <c r="G41">
        <f>((D41-$D$2)^2+(E41-$E$2)^2)</f>
        <v>3.320299166913801E-2</v>
      </c>
    </row>
    <row r="42" spans="1:7">
      <c r="A42" t="b">
        <f>RETURN(D7:D8)</f>
        <v>1</v>
      </c>
      <c r="C42" s="20">
        <v>1374.9406785310973</v>
      </c>
      <c r="D42" s="28">
        <v>0.37602788333860099</v>
      </c>
      <c r="E42" s="28">
        <v>0.35968659174562023</v>
      </c>
      <c r="G42">
        <f>((D42-$D$2)^2+(E42-$E$2)^2)</f>
        <v>3.2463663240508325E-2</v>
      </c>
    </row>
    <row r="43" spans="1:7">
      <c r="C43" s="20">
        <v>1388.6900853164084</v>
      </c>
      <c r="D43" s="28">
        <v>0.37391397076543531</v>
      </c>
      <c r="E43" s="28">
        <v>0.35978056073941606</v>
      </c>
      <c r="G43">
        <f>((D43-$D$2)^2+(E43-$E$2)^2)</f>
        <v>3.1736651765820266E-2</v>
      </c>
    </row>
    <row r="44" spans="1:7">
      <c r="C44" s="20">
        <v>1402.5769861695726</v>
      </c>
      <c r="D44" s="28">
        <v>0.37181094632147704</v>
      </c>
      <c r="E44" s="28">
        <v>0.35986946815171073</v>
      </c>
      <c r="G44">
        <f>((D44-$D$2)^2+(E44-$E$2)^2)</f>
        <v>3.1021874089721596E-2</v>
      </c>
    </row>
    <row r="45" spans="1:7">
      <c r="C45" s="20">
        <v>1416.6027560312684</v>
      </c>
      <c r="D45" s="28">
        <v>0.36971899135530134</v>
      </c>
      <c r="E45" s="28">
        <v>0.35995321685831777</v>
      </c>
      <c r="G45">
        <f>((D45-$D$2)^2+(E45-$E$2)^2)</f>
        <v>3.0319242852474827E-2</v>
      </c>
    </row>
    <row r="46" spans="1:7">
      <c r="C46" s="20">
        <v>1430.768783591581</v>
      </c>
      <c r="D46" s="28">
        <v>0.36763828152061795</v>
      </c>
      <c r="E46" s="28">
        <v>0.3600317110195802</v>
      </c>
      <c r="G46">
        <f>((D46-$D$2)^2+(E46-$E$2)^2)</f>
        <v>2.9628666694017078E-2</v>
      </c>
    </row>
    <row r="47" spans="1:7">
      <c r="C47" s="20">
        <v>1445.0764714274969</v>
      </c>
      <c r="D47" s="28">
        <v>0.36556898685061306</v>
      </c>
      <c r="E47" s="28">
        <v>0.36010485616809013</v>
      </c>
      <c r="G47">
        <f>((D47-$D$2)^2+(E47-$E$2)^2)</f>
        <v>2.8950050455432239E-2</v>
      </c>
    </row>
    <row r="48" spans="1:7">
      <c r="C48" s="20">
        <v>1459.5272361417719</v>
      </c>
      <c r="D48" s="28">
        <v>0.36351127183330589</v>
      </c>
      <c r="E48" s="28">
        <v>0.36017255929655562</v>
      </c>
      <c r="G48">
        <f>((D48-$D$2)^2+(E48-$E$2)^2)</f>
        <v>2.82832953776565E-2</v>
      </c>
    </row>
    <row r="49" spans="3:7">
      <c r="C49" s="20">
        <v>1474.1225085031897</v>
      </c>
      <c r="D49" s="28">
        <v>0.36146529548766559</v>
      </c>
      <c r="E49" s="28">
        <v>0.36023472894565678</v>
      </c>
      <c r="G49">
        <f>((D49-$D$2)^2+(E49-$E$2)^2)</f>
        <v>2.7628299297232945E-2</v>
      </c>
    </row>
    <row r="50" spans="3:7">
      <c r="C50" s="20">
        <v>1488.8637335882215</v>
      </c>
      <c r="D50" s="28">
        <v>0.35943121144030005</v>
      </c>
      <c r="E50" s="28">
        <v>0.36029127529172938</v>
      </c>
      <c r="G50">
        <f>((D50-$D$2)^2+(E50-$E$2)^2)</f>
        <v>2.6984956838962956E-2</v>
      </c>
    </row>
    <row r="51" spans="3:7">
      <c r="C51" s="20">
        <v>1503.7523709241038</v>
      </c>
      <c r="D51" s="28">
        <v>0.35740916800251599</v>
      </c>
      <c r="E51" s="28">
        <v>0.36034211023411389</v>
      </c>
      <c r="G51">
        <f>((D51-$D$2)^2+(E51-$E$2)^2)</f>
        <v>2.6353159605307538E-2</v>
      </c>
    </row>
    <row r="52" spans="3:7">
      <c r="C52" s="20">
        <v>1518.7898946333448</v>
      </c>
      <c r="D52" s="28">
        <v>0.35539930824753824</v>
      </c>
      <c r="E52" s="28">
        <v>0.36038714748200318</v>
      </c>
      <c r="G52">
        <f>((D52-$D$2)^2+(E52-$E$2)^2)</f>
        <v>2.5732796362397243E-2</v>
      </c>
    </row>
    <row r="53" spans="3:7">
      <c r="C53" s="20">
        <v>1533.9777935796783</v>
      </c>
      <c r="D53" s="28">
        <v>0.35340177008775059</v>
      </c>
      <c r="E53" s="28">
        <v>0.36042630264062359</v>
      </c>
      <c r="G53">
        <f>((D53-$D$2)^2+(E53-$E$2)^2)</f>
        <v>2.5123753222541737E-2</v>
      </c>
    </row>
    <row r="54" spans="3:7">
      <c r="C54" s="20">
        <v>1549.317571515475</v>
      </c>
      <c r="D54" s="28">
        <v>0.35141668635175577</v>
      </c>
      <c r="E54" s="28">
        <v>0.36045949329658211</v>
      </c>
      <c r="G54">
        <f>((D54-$D$2)^2+(E54-$E$2)^2)</f>
        <v>2.4525913823117609E-2</v>
      </c>
    </row>
    <row r="55" spans="3:7">
      <c r="C55" s="20">
        <v>1564.8107472306299</v>
      </c>
      <c r="D55" s="28">
        <v>0.34944418486112938</v>
      </c>
      <c r="E55" s="28">
        <v>0.36048663910221279</v>
      </c>
      <c r="G55">
        <f>((D55-$D$2)^2+(E55-$E$2)^2)</f>
        <v>2.3939159501744911E-2</v>
      </c>
    </row>
    <row r="56" spans="3:7">
      <c r="C56" s="20">
        <v>1580.4588547029362</v>
      </c>
      <c r="D56" s="28">
        <v>0.3474843885067162</v>
      </c>
      <c r="E56" s="28">
        <v>0.36050766185875427</v>
      </c>
      <c r="G56">
        <f>((D56-$D$2)^2+(E56-$E$2)^2)</f>
        <v>2.336336946766172E-2</v>
      </c>
    </row>
    <row r="57" spans="3:7">
      <c r="C57" s="20">
        <v>1596.2634432499656</v>
      </c>
      <c r="D57" s="28">
        <v>0.34553741532433863</v>
      </c>
      <c r="E57" s="28">
        <v>0.36052248559819428</v>
      </c>
      <c r="G57">
        <f>((D57-$D$2)^2+(E57-$E$2)^2)</f>
        <v>2.279842096921959E-2</v>
      </c>
    </row>
    <row r="58" spans="3:7">
      <c r="C58" s="20">
        <v>1612.2260776824653</v>
      </c>
      <c r="D58" s="28">
        <v>0.34360337856980616</v>
      </c>
      <c r="E58" s="28">
        <v>0.36053103666361591</v>
      </c>
      <c r="G58">
        <f>((D58-$D$2)^2+(E58-$E$2)^2)</f>
        <v>2.2244189457434636E-2</v>
      </c>
    </row>
    <row r="59" spans="3:7">
      <c r="C59" s="20">
        <v>1628.3483384592901</v>
      </c>
      <c r="D59" s="28">
        <v>0.34168238679312535</v>
      </c>
      <c r="E59" s="28">
        <v>0.3605332437878821</v>
      </c>
      <c r="G59">
        <f>((D59-$D$2)^2+(E59-$E$2)^2)</f>
        <v>2.1700548745537868E-2</v>
      </c>
    </row>
    <row r="60" spans="3:7">
      <c r="C60" s="20">
        <v>1644.631821843883</v>
      </c>
      <c r="D60" s="28">
        <v>0.33977454391180284</v>
      </c>
      <c r="E60" s="28">
        <v>0.36052903817049903</v>
      </c>
      <c r="G60">
        <f>((D60-$D$2)^2+(E60-$E$2)^2)</f>
        <v>2.1167371164472228E-2</v>
      </c>
    </row>
    <row r="61" spans="3:7">
      <c r="C61" s="20">
        <v>1661.0781400623218</v>
      </c>
      <c r="D61" s="28">
        <v>0.33787994928318049</v>
      </c>
      <c r="E61" s="28">
        <v>0.3605183535525015</v>
      </c>
      <c r="G61">
        <f>((D61-$D$2)^2+(E61-$E$2)^2)</f>
        <v>2.064452771430221E-2</v>
      </c>
    </row>
    <row r="62" spans="3:7">
      <c r="C62" s="20">
        <v>1677.688921462945</v>
      </c>
      <c r="D62" s="28">
        <v>0.33599869777571323</v>
      </c>
      <c r="E62" s="28">
        <v>0.36050112628920555</v>
      </c>
      <c r="G62">
        <f>((D62-$D$2)^2+(E62-$E$2)^2)</f>
        <v>2.0131888211498486E-2</v>
      </c>
    </row>
    <row r="63" spans="3:7">
      <c r="C63" s="20">
        <v>1694.4658106775744</v>
      </c>
      <c r="D63" s="28">
        <v>0.33413087983913953</v>
      </c>
      <c r="E63" s="28">
        <v>0.36047729542068047</v>
      </c>
      <c r="G63">
        <f>((D63-$D$2)^2+(E63-$E$2)^2)</f>
        <v>1.9629321432076123E-2</v>
      </c>
    </row>
    <row r="64" spans="3:7">
      <c r="C64" s="20">
        <v>1711.4104687843501</v>
      </c>
      <c r="D64" s="28">
        <v>0.3322765815735037</v>
      </c>
      <c r="E64" s="28">
        <v>0.36044680273979074</v>
      </c>
      <c r="G64">
        <f>((D64-$D$2)^2+(E64-$E$2)^2)</f>
        <v>1.9136695250570584E-2</v>
      </c>
    </row>
    <row r="65" spans="3:7">
      <c r="C65" s="20">
        <v>1728.5245734721937</v>
      </c>
      <c r="D65" s="28">
        <v>0.33043588479697061</v>
      </c>
      <c r="E65" s="28">
        <v>0.3604095928576731</v>
      </c>
      <c r="G65">
        <f>((D65-$D$2)^2+(E65-$E$2)^2)</f>
        <v>1.8653876774836011E-2</v>
      </c>
    </row>
    <row r="66" spans="3:7">
      <c r="C66" s="20">
        <v>1745.8098192069156</v>
      </c>
      <c r="D66" s="28">
        <v>0.32860886711242232</v>
      </c>
      <c r="E66" s="28">
        <v>0.36036561326650857</v>
      </c>
      <c r="G66">
        <f>((D66-$D$2)^2+(E66-$E$2)^2)</f>
        <v>1.8180732476665899E-2</v>
      </c>
    </row>
    <row r="67" spans="3:7">
      <c r="C67" s="20">
        <v>1763.2679173989848</v>
      </c>
      <c r="D67" s="28">
        <v>0.32679560197281016</v>
      </c>
      <c r="E67" s="28">
        <v>0.36031481439946283</v>
      </c>
      <c r="G67">
        <f>((D67-$D$2)^2+(E67-$E$2)^2)</f>
        <v>1.77171283182362E-2</v>
      </c>
    </row>
    <row r="68" spans="3:7">
      <c r="C68" s="20">
        <v>1780.9005965729746</v>
      </c>
      <c r="D68" s="28">
        <v>0.32499615874524684</v>
      </c>
      <c r="E68" s="28">
        <v>0.36025714968767147</v>
      </c>
      <c r="G68">
        <f>((D68-$D$2)^2+(E68-$E$2)^2)</f>
        <v>1.7262929874376741E-2</v>
      </c>
    </row>
    <row r="69" spans="3:7">
      <c r="C69" s="20">
        <v>1798.7096025387043</v>
      </c>
      <c r="D69" s="28">
        <v>0.32321060277384567</v>
      </c>
      <c r="E69" s="28">
        <v>0.36019257561415169</v>
      </c>
      <c r="G69">
        <f>((D69-$D$2)^2+(E69-$E$2)^2)</f>
        <v>1.6818002450685664E-2</v>
      </c>
    </row>
    <row r="70" spans="3:7">
      <c r="C70" s="20">
        <v>1816.6966985640913</v>
      </c>
      <c r="D70" s="28">
        <v>0.321438995441304</v>
      </c>
      <c r="E70" s="28">
        <v>0.3601210517645333</v>
      </c>
      <c r="G70">
        <f>((D70-$D$2)^2+(E70-$E$2)^2)</f>
        <v>1.638221119750212E-2</v>
      </c>
    </row>
    <row r="71" spans="3:7">
      <c r="C71" s="20">
        <v>1834.8636655497323</v>
      </c>
      <c r="D71" s="28">
        <v>0.31968139422924502</v>
      </c>
      <c r="E71" s="28">
        <v>0.36004254087450421</v>
      </c>
      <c r="G71">
        <f>((D71-$D$2)^2+(E71-$E$2)^2)</f>
        <v>1.5955421219759194E-2</v>
      </c>
    </row>
    <row r="72" spans="3:7">
      <c r="C72" s="20">
        <v>1853.2123022052297</v>
      </c>
      <c r="D72" s="28">
        <v>0.31793785277733938</v>
      </c>
      <c r="E72" s="28">
        <v>0.35995700887387805</v>
      </c>
      <c r="G72">
        <f>((D72-$D$2)^2+(E72-$E$2)^2)</f>
        <v>1.5537497682743826E-2</v>
      </c>
    </row>
    <row r="73" spans="3:7">
      <c r="C73" s="20">
        <v>1871.7444252272819</v>
      </c>
      <c r="D73" s="28">
        <v>0.31620842094123452</v>
      </c>
      <c r="E73" s="28">
        <v>0.35986442492719284</v>
      </c>
      <c r="G73">
        <f>((D73-$D$2)^2+(E73-$E$2)^2)</f>
        <v>1.5128305913793806E-2</v>
      </c>
    </row>
    <row r="74" spans="3:7">
      <c r="C74" s="20">
        <v>1890.4618694795547</v>
      </c>
      <c r="D74" s="28">
        <v>0.31449314484930752</v>
      </c>
      <c r="E74" s="28">
        <v>0.35976476147076719</v>
      </c>
      <c r="G74">
        <f>((D74-$D$2)^2+(E74-$E$2)^2)</f>
        <v>1.4727711499962479E-2</v>
      </c>
    </row>
    <row r="75" spans="3:7">
      <c r="C75" s="20">
        <v>1909.3664881743503</v>
      </c>
      <c r="D75" s="28">
        <v>0.31279206695830997</v>
      </c>
      <c r="E75" s="28">
        <v>0.35965799424613748</v>
      </c>
      <c r="G75">
        <f>((D75-$D$2)^2+(E75-$E$2)^2)</f>
        <v>1.4335580381695277E-2</v>
      </c>
    </row>
    <row r="76" spans="3:7">
      <c r="C76" s="20">
        <v>1928.4601530560938</v>
      </c>
      <c r="D76" s="28">
        <v>0.31110522610790597</v>
      </c>
      <c r="E76" s="28">
        <v>0.35954410232981865</v>
      </c>
      <c r="G76">
        <f>((D76-$D$2)^2+(E76-$E$2)^2)</f>
        <v>1.3951778942549748E-2</v>
      </c>
    </row>
    <row r="77" spans="3:7">
      <c r="C77" s="20">
        <v>1947.7447545866546</v>
      </c>
      <c r="D77" s="28">
        <v>0.30943265757418026</v>
      </c>
      <c r="E77" s="28">
        <v>0.35942306815933223</v>
      </c>
      <c r="G77">
        <f>((D77-$D$2)^2+(E77-$E$2)^2)</f>
        <v>1.3576174095009752E-2</v>
      </c>
    </row>
    <row r="78" spans="3:7">
      <c r="C78" s="20">
        <v>1967.2222021325213</v>
      </c>
      <c r="D78" s="28">
        <v>0.30777439312215221</v>
      </c>
      <c r="E78" s="28">
        <v>0.35929487755545797</v>
      </c>
      <c r="G78">
        <f>((D78-$D$2)^2+(E78-$E$2)^2)</f>
        <v>1.3208633362437354E-2</v>
      </c>
    </row>
    <row r="79" spans="3:7">
      <c r="C79" s="20">
        <v>1986.8944241538466</v>
      </c>
      <c r="D79" s="28">
        <v>0.30613046105734421</v>
      </c>
      <c r="E79" s="28">
        <v>0.35915951974067301</v>
      </c>
      <c r="G79">
        <f>((D79-$D$2)^2+(E79-$E$2)^2)</f>
        <v>1.2849024957210891E-2</v>
      </c>
    </row>
    <row r="80" spans="3:7">
      <c r="C80" s="20">
        <v>2006.763368395385</v>
      </c>
      <c r="D80" s="28">
        <v>0.30450088627646982</v>
      </c>
      <c r="E80" s="28">
        <v>0.35901698735375165</v>
      </c>
      <c r="G80">
        <f>((D80-$D$2)^2+(E80-$E$2)^2)</f>
        <v>1.2497217855103378E-2</v>
      </c>
    </row>
    <row r="81" spans="3:7">
      <c r="C81" s="20">
        <v>2026.8310020793388</v>
      </c>
      <c r="D81" s="28">
        <v>0.30288569031728885</v>
      </c>
      <c r="E81" s="28">
        <v>0.35886727646050742</v>
      </c>
      <c r="G81">
        <f>((D81-$D$2)^2+(E81-$E$2)^2)</f>
        <v>1.2153081865953267E-2</v>
      </c>
    </row>
    <row r="82" spans="3:7">
      <c r="C82" s="20">
        <v>2047.0993121001322</v>
      </c>
      <c r="D82" s="28">
        <v>0.30128489140769277</v>
      </c>
      <c r="E82" s="28">
        <v>0.35871038656066978</v>
      </c>
      <c r="G82">
        <f>((D82-$D$2)^2+(E82-$E$2)^2)</f>
        <v>1.1816487700685337E-2</v>
      </c>
    </row>
    <row r="83" spans="3:7">
      <c r="C83" s="20">
        <v>2067.5703052211334</v>
      </c>
      <c r="D83" s="28">
        <v>0.29969850451407498</v>
      </c>
      <c r="E83" s="28">
        <v>0.35854632059089325</v>
      </c>
      <c r="G83">
        <f>((D83-$D$2)^2+(E83-$E$2)^2)</f>
        <v>1.1487307034739016E-2</v>
      </c>
    </row>
    <row r="84" spans="3:7">
      <c r="C84" s="20">
        <v>2088.2460082733446</v>
      </c>
      <c r="D84" s="28">
        <v>0.29812654138905181</v>
      </c>
      <c r="E84" s="28">
        <v>0.3583750849239099</v>
      </c>
      <c r="G84">
        <f>((D84-$D$2)^2+(E84-$E$2)^2)</f>
        <v>1.1165412567966201E-2</v>
      </c>
    </row>
    <row r="85" spans="3:7">
      <c r="C85" s="20">
        <v>2109.128468356078</v>
      </c>
      <c r="D85" s="28">
        <v>0.29656901061858931</v>
      </c>
      <c r="E85" s="28">
        <v>0.35819668936384158</v>
      </c>
      <c r="G85">
        <f>((D85-$D$2)^2+(E85-$E$2)^2)</f>
        <v>1.0850678081059842E-2</v>
      </c>
    </row>
    <row r="86" spans="3:7">
      <c r="C86" s="20">
        <v>2130.2197530396388</v>
      </c>
      <c r="D86" s="28">
        <v>0.2950259176685962</v>
      </c>
      <c r="E86" s="28">
        <v>0.35801114713769783</v>
      </c>
      <c r="G86">
        <f>((D86-$D$2)^2+(E86-$E$2)^2)</f>
        <v>1.0542978488577701E-2</v>
      </c>
    </row>
    <row r="87" spans="3:7">
      <c r="C87" s="20">
        <v>2151.5219505700352</v>
      </c>
      <c r="D87" s="28">
        <v>0.29349726493104844</v>
      </c>
      <c r="E87" s="28">
        <v>0.35781847488309537</v>
      </c>
      <c r="G87">
        <f>((D87-$D$2)^2+(E87-$E$2)^2)</f>
        <v>1.024218988862844E-2</v>
      </c>
    </row>
    <row r="88" spans="3:7">
      <c r="C88" s="20">
        <v>2173.0371700757355</v>
      </c>
      <c r="D88" s="28">
        <v>0.29198305176968786</v>
      </c>
      <c r="E88" s="28">
        <v>0.35761869263224133</v>
      </c>
      <c r="G88">
        <f>((D88-$D$2)^2+(E88-$E$2)^2)</f>
        <v>9.9481896092845062E-3</v>
      </c>
    </row>
    <row r="89" spans="3:7">
      <c r="C89" s="20">
        <v>2194.7675417764931</v>
      </c>
      <c r="D89" s="28">
        <v>0.29048327456537515</v>
      </c>
      <c r="E89" s="28">
        <v>0.35741182379223096</v>
      </c>
      <c r="G89">
        <f>((D89-$D$2)^2+(E89-$E$2)^2)</f>
        <v>9.6608562517951947E-3</v>
      </c>
    </row>
    <row r="90" spans="3:7">
      <c r="C90" s="20">
        <v>2216.715217194258</v>
      </c>
      <c r="D90" s="28">
        <v>0.28899792676112929</v>
      </c>
      <c r="E90" s="28">
        <v>0.35719789512171807</v>
      </c>
      <c r="G90">
        <f>((D90-$D$2)^2+(E90-$E$2)^2)</f>
        <v>9.380069730665833E-3</v>
      </c>
    </row>
    <row r="91" spans="3:7">
      <c r="C91" s="20">
        <v>2238.8823693662007</v>
      </c>
      <c r="D91" s="28">
        <v>0.28752699890691791</v>
      </c>
      <c r="E91" s="28">
        <v>0.35697693670402753</v>
      </c>
      <c r="G91">
        <f>((D91-$D$2)^2+(E91-$E$2)^2)</f>
        <v>9.1057113106771791E-3</v>
      </c>
    </row>
    <row r="92" spans="3:7">
      <c r="C92" s="20">
        <v>2261.2711930598625</v>
      </c>
      <c r="D92" s="28">
        <v>0.28607047870425412</v>
      </c>
      <c r="E92" s="28">
        <v>0.35674898191677856</v>
      </c>
      <c r="G92">
        <f>((D92-$D$2)^2+(E92-$E$2)^2)</f>
        <v>8.8376636409182203E-3</v>
      </c>
    </row>
    <row r="93" spans="3:7">
      <c r="C93" s="20">
        <v>2283.8839049904614</v>
      </c>
      <c r="D93" s="28">
        <v>0.28462835105063572</v>
      </c>
      <c r="E93" s="28">
        <v>0.35651406739810426</v>
      </c>
      <c r="G93">
        <f>((D93-$D$2)^2+(E93-$E$2)^2)</f>
        <v>8.5758107859045599E-3</v>
      </c>
    </row>
    <row r="94" spans="3:7">
      <c r="C94" s="20">
        <v>2306.7227440403658</v>
      </c>
      <c r="D94" s="28">
        <v>0.28320059808387865</v>
      </c>
      <c r="E94" s="28">
        <v>0.35627223300954997</v>
      </c>
      <c r="G94">
        <f>((D94-$D$2)^2+(E94-$E$2)^2)</f>
        <v>8.3200382538581603E-3</v>
      </c>
    </row>
    <row r="95" spans="3:7">
      <c r="C95" s="20">
        <v>2329.7899714807695</v>
      </c>
      <c r="D95" s="28">
        <v>0.28178719922639223</v>
      </c>
      <c r="E95" s="28">
        <v>0.35602352179574748</v>
      </c>
      <c r="G95">
        <f>((D95-$D$2)^2+(E95-$E$2)^2)</f>
        <v>8.0702330222254572E-3</v>
      </c>
    </row>
    <row r="96" spans="3:7">
      <c r="C96" s="20">
        <v>2353.087871195577</v>
      </c>
      <c r="D96" s="28">
        <v>0.28038813122942657</v>
      </c>
      <c r="E96" s="28">
        <v>0.35576797994096104</v>
      </c>
      <c r="G96">
        <f>((D96-$D$2)^2+(E96-$E$2)^2)</f>
        <v>7.8262835605088198E-3</v>
      </c>
    </row>
    <row r="97" spans="3:7">
      <c r="C97" s="20">
        <v>2376.6187499075327</v>
      </c>
      <c r="D97" s="28">
        <v>0.27900336821733263</v>
      </c>
      <c r="E97" s="28">
        <v>0.35550565672261314</v>
      </c>
      <c r="G97">
        <f>((D97-$D$2)^2+(E97-$E$2)^2)</f>
        <v>7.5880798504898749E-3</v>
      </c>
    </row>
    <row r="98" spans="3:7">
      <c r="C98" s="20">
        <v>2400.3849374066081</v>
      </c>
      <c r="D98" s="28">
        <v>0.27763288173187245</v>
      </c>
      <c r="E98" s="28">
        <v>0.35523660446189437</v>
      </c>
      <c r="G98">
        <f>((D98-$D$2)^2+(E98-$E$2)^2)</f>
        <v>7.3555134039232414E-3</v>
      </c>
    </row>
    <row r="99" spans="3:7">
      <c r="C99" s="20">
        <v>2424.3887867806743</v>
      </c>
      <c r="D99" s="28">
        <v>0.27627664077660075</v>
      </c>
      <c r="E99" s="28">
        <v>0.3549608784715787</v>
      </c>
      <c r="G99">
        <f>((D99-$D$2)^2+(E99-$E$2)^2)</f>
        <v>7.1284772777785877E-3</v>
      </c>
    </row>
    <row r="100" spans="3:7">
      <c r="C100" s="20">
        <v>2448.632674648481</v>
      </c>
      <c r="D100" s="28">
        <v>0.27493461186134599</v>
      </c>
      <c r="E100" s="28">
        <v>0.35467853700115559</v>
      </c>
      <c r="G100">
        <f>((D100-$D$2)^2+(E100-$E$2)^2)</f>
        <v>6.9068660871102186E-3</v>
      </c>
    </row>
    <row r="101" spans="3:7">
      <c r="C101" s="20">
        <v>2473.1190013949658</v>
      </c>
      <c r="D101" s="28">
        <v>0.27360675904682391</v>
      </c>
      <c r="E101" s="28">
        <v>0.35438964117940513</v>
      </c>
      <c r="G101">
        <f>((D101-$D$2)^2+(E101-$E$2)^2)</f>
        <v>6.6905760156356457E-3</v>
      </c>
    </row>
    <row r="102" spans="3:7">
      <c r="C102" s="20">
        <v>2497.8501914089156</v>
      </c>
      <c r="D102" s="28">
        <v>0.27229304398938353</v>
      </c>
      <c r="E102" s="28">
        <v>0.35409425495454067</v>
      </c>
      <c r="G102">
        <f>((D102-$D$2)^2+(E102-$E$2)^2)</f>
        <v>6.4795048241002278E-3</v>
      </c>
    </row>
    <row r="103" spans="3:7">
      <c r="C103" s="20">
        <v>2522.8286933230047</v>
      </c>
      <c r="D103" s="28">
        <v>0.27099342598591619</v>
      </c>
      <c r="E103" s="28">
        <v>0.35379244503204749</v>
      </c>
      <c r="G103">
        <f>((D103-$D$2)^2+(E103-$E$2)^2)</f>
        <v>6.2735518565103067E-3</v>
      </c>
    </row>
    <row r="104" spans="3:7">
      <c r="C104" s="20">
        <v>2548.056980256235</v>
      </c>
      <c r="D104" s="28">
        <v>0.26970786201893909</v>
      </c>
      <c r="E104" s="28">
        <v>0.35348428081034589</v>
      </c>
      <c r="G104">
        <f>((D104-$D$2)^2+(E104-$E$2)^2)</f>
        <v>6.0726180443148228E-3</v>
      </c>
    </row>
    <row r="105" spans="3:7">
      <c r="C105" s="20">
        <v>2573.5375500587975</v>
      </c>
      <c r="D105" s="28">
        <v>0.26843630680184571</v>
      </c>
      <c r="E105" s="28">
        <v>0.35316983431441606</v>
      </c>
      <c r="G105">
        <f>((D105-$D$2)^2+(E105-$E$2)^2)</f>
        <v>5.8766059086137294E-3</v>
      </c>
    </row>
    <row r="106" spans="3:7">
      <c r="C106" s="20">
        <v>2599.2729255593854</v>
      </c>
      <c r="D106" s="28">
        <v>0.26717871282435068</v>
      </c>
      <c r="E106" s="28">
        <v>0.35284918012751287</v>
      </c>
      <c r="G106">
        <f>((D106-$D$2)^2+(E106-$E$2)^2)</f>
        <v>5.6854195604761279E-3</v>
      </c>
    </row>
    <row r="107" spans="3:7">
      <c r="C107" s="20">
        <v>2625.2656548149794</v>
      </c>
      <c r="D107" s="28">
        <v>0.26593503039811145</v>
      </c>
      <c r="E107" s="28">
        <v>0.35252239532111251</v>
      </c>
      <c r="G107">
        <f>((D107-$D$2)^2+(E107-$E$2)^2)</f>
        <v>5.4989646994458453E-3</v>
      </c>
    </row>
    <row r="108" spans="3:7">
      <c r="C108" s="20">
        <v>2651.5183113631292</v>
      </c>
      <c r="D108" s="28">
        <v>0.2647052077025403</v>
      </c>
      <c r="E108" s="28">
        <v>0.352189559383219</v>
      </c>
      <c r="G108">
        <f>((D108-$D$2)^2+(E108-$E$2)^2)</f>
        <v>5.317148610315587E-3</v>
      </c>
    </row>
    <row r="109" spans="3:7">
      <c r="C109" s="20">
        <v>2678.0334944767606</v>
      </c>
      <c r="D109" s="28">
        <v>0.26348919083078748</v>
      </c>
      <c r="E109" s="28">
        <v>0.3518507541451753</v>
      </c>
      <c r="G109">
        <f>((D109-$D$2)^2+(E109-$E$2)^2)</f>
        <v>5.1398801582475968E-3</v>
      </c>
    </row>
    <row r="110" spans="3:7">
      <c r="C110" s="20">
        <v>2704.8138294215282</v>
      </c>
      <c r="D110" s="28">
        <v>0.26228692383590085</v>
      </c>
      <c r="E110" s="28">
        <v>0.35150606370710719</v>
      </c>
      <c r="G110">
        <f>((D110-$D$2)^2+(E110-$E$2)^2)</f>
        <v>4.9670697823207249E-3</v>
      </c>
    </row>
    <row r="111" spans="3:7">
      <c r="C111" s="20">
        <v>2731.8619677157435</v>
      </c>
      <c r="D111" s="28">
        <v>0.26109834877714366</v>
      </c>
      <c r="E111" s="28">
        <v>0.3511555743621409</v>
      </c>
      <c r="G111">
        <f>((D111-$D$2)^2+(E111-$E$2)^2)</f>
        <v>4.7986294875814028E-3</v>
      </c>
    </row>
    <row r="112" spans="3:7">
      <c r="C112" s="20">
        <v>2759.1805873929011</v>
      </c>
      <c r="D112" s="28">
        <v>0.25992340576645923</v>
      </c>
      <c r="E112" s="28">
        <v>0.35079937451952398</v>
      </c>
      <c r="G112">
        <f>((D112-$D$2)^2+(E112-$E$2)^2)</f>
        <v>4.6344728356758737E-3</v>
      </c>
    </row>
    <row r="113" spans="3:7">
      <c r="C113" s="20">
        <v>2786.77239326683</v>
      </c>
      <c r="D113" s="28">
        <v>0.25876203301506689</v>
      </c>
      <c r="E113" s="28">
        <v>0.3504375546267875</v>
      </c>
      <c r="G113">
        <f>((D113-$D$2)^2+(E113-$E$2)^2)</f>
        <v>4.4745149341407046E-3</v>
      </c>
    </row>
    <row r="114" spans="3:7">
      <c r="C114" s="20">
        <v>2814.6401171994985</v>
      </c>
      <c r="D114" s="28">
        <v>0.25761416688017524</v>
      </c>
      <c r="E114" s="28">
        <v>0.35007020709107534</v>
      </c>
      <c r="G114">
        <f>((D114-$D$2)^2+(E114-$E$2)^2)</f>
        <v>4.3186724244273786E-3</v>
      </c>
    </row>
    <row r="115" spans="3:7">
      <c r="C115" s="20">
        <v>2842.7865183714935</v>
      </c>
      <c r="D115" s="28">
        <v>0.25647974191178519</v>
      </c>
      <c r="E115" s="28">
        <v>0.34969742619977351</v>
      </c>
      <c r="G115">
        <f>((D115-$D$2)^2+(E115-$E$2)^2)</f>
        <v>4.1668634687351564E-3</v>
      </c>
    </row>
    <row r="116" spans="3:7">
      <c r="C116" s="20">
        <v>2871.2143835552083</v>
      </c>
      <c r="D116" s="28">
        <v>0.25535869089956453</v>
      </c>
      <c r="E116" s="28">
        <v>0.3493193080405656</v>
      </c>
      <c r="G116">
        <f>((D116-$D$2)^2+(E116-$E$2)^2)</f>
        <v>4.0190077357263043E-3</v>
      </c>
    </row>
    <row r="117" spans="3:7">
      <c r="C117" s="20">
        <v>2899.9265273907604</v>
      </c>
      <c r="D117" s="28">
        <v>0.25425094491977462</v>
      </c>
      <c r="E117" s="28">
        <v>0.34893595042103548</v>
      </c>
      <c r="G117">
        <f>((D117-$D$2)^2+(E117-$E$2)^2)</f>
        <v>3.8750263851965094E-3</v>
      </c>
    </row>
    <row r="118" spans="3:7">
      <c r="C118" s="20">
        <v>2928.9257926646678</v>
      </c>
      <c r="D118" s="28">
        <v>0.25315643338221844</v>
      </c>
      <c r="E118" s="28">
        <v>0.3485474527879423</v>
      </c>
      <c r="G118">
        <f>((D118-$D$2)^2+(E118-$E$2)^2)</f>
        <v>3.7348420517714339E-3</v>
      </c>
    </row>
    <row r="119" spans="3:7">
      <c r="C119" s="20">
        <v>2958.2150505913146</v>
      </c>
      <c r="D119" s="28">
        <v>0.25207508407718338</v>
      </c>
      <c r="E119" s="28">
        <v>0.34815391614628244</v>
      </c>
      <c r="G119">
        <f>((D119-$D$2)^2+(E119-$E$2)^2)</f>
        <v>3.5983788276992088E-3</v>
      </c>
    </row>
    <row r="120" spans="3:7">
      <c r="C120" s="20">
        <v>2987.7972010972276</v>
      </c>
      <c r="D120" s="28">
        <v>0.25100682322235479</v>
      </c>
      <c r="E120" s="28">
        <v>0.34775544297825434</v>
      </c>
      <c r="G120">
        <f>((D120-$D$2)^2+(E120-$E$2)^2)</f>
        <v>3.4655622448079688E-3</v>
      </c>
    </row>
    <row r="121" spans="3:7">
      <c r="C121" s="20">
        <v>3017.6751731081999</v>
      </c>
      <c r="D121" s="28">
        <v>0.24995157550967098</v>
      </c>
      <c r="E121" s="28">
        <v>0.3473521371622354</v>
      </c>
      <c r="G121">
        <f>((D121-$D$2)^2+(E121-$E$2)^2)</f>
        <v>3.3363192556953919E-3</v>
      </c>
    </row>
    <row r="122" spans="3:7">
      <c r="C122" s="20">
        <v>3047.8519248392818</v>
      </c>
      <c r="D122" s="28">
        <v>0.24890926415208908</v>
      </c>
      <c r="E122" s="28">
        <v>0.34694410389187819</v>
      </c>
      <c r="G122">
        <f>((D122-$D$2)^2+(E122-$E$2)^2)</f>
        <v>3.2105782142157506E-3</v>
      </c>
    </row>
    <row r="123" spans="3:7">
      <c r="C123" s="20">
        <v>3078.3304440876746</v>
      </c>
      <c r="D123" s="28">
        <v>0.2478798109302304</v>
      </c>
      <c r="E123" s="28">
        <v>0.3465314495954297</v>
      </c>
      <c r="G123">
        <f>((D123-$D$2)^2+(E123-$E$2)^2)</f>
        <v>3.0882688553284386E-3</v>
      </c>
    </row>
    <row r="124" spans="3:7">
      <c r="C124" s="20">
        <v>3109.1137485285512</v>
      </c>
      <c r="D124" s="28">
        <v>0.24686313623888501</v>
      </c>
      <c r="E124" s="28">
        <v>0.34611428185536802</v>
      </c>
      <c r="G124">
        <f>((D124-$D$2)^2+(E124-$E$2)^2)</f>
        <v>2.9693222743710293E-3</v>
      </c>
    </row>
    <row r="125" spans="3:7">
      <c r="C125" s="20">
        <v>3140.2048860138366</v>
      </c>
      <c r="D125" s="28">
        <v>0.24585915913332648</v>
      </c>
      <c r="E125" s="28">
        <v>0.34569270932845608</v>
      </c>
      <c r="G125">
        <f>((D125-$D$2)^2+(E125-$E$2)^2)</f>
        <v>2.8536709058160983E-3</v>
      </c>
    </row>
    <row r="126" spans="3:7">
      <c r="C126" s="20">
        <v>3171.6069348739752</v>
      </c>
      <c r="D126" s="28">
        <v>0.24486779737543193</v>
      </c>
      <c r="E126" s="28">
        <v>0.34526684166629573</v>
      </c>
      <c r="G126">
        <f>((D126-$D$2)^2+(E126-$E$2)^2)</f>
        <v>2.7412485015727494E-3</v>
      </c>
    </row>
    <row r="127" spans="3:7">
      <c r="C127" s="20">
        <v>3203.3230042227151</v>
      </c>
      <c r="D127" s="28">
        <v>0.24388896747955047</v>
      </c>
      <c r="E127" s="28">
        <v>0.34483678943647272</v>
      </c>
      <c r="G127">
        <f>((D127-$D$2)^2+(E127-$E$2)^2)</f>
        <v>2.6319901088878148E-3</v>
      </c>
    </row>
    <row r="128" spans="3:7">
      <c r="C128" s="20">
        <v>3235.3562342649425</v>
      </c>
      <c r="D128" s="28">
        <v>0.24292258475811715</v>
      </c>
      <c r="E128" s="28">
        <v>0.34440266404436787</v>
      </c>
      <c r="G128">
        <f>((D128-$D$2)^2+(E128-$E$2)^2)</f>
        <v>2.5258320479041676E-3</v>
      </c>
    </row>
    <row r="129" spans="3:7">
      <c r="C129" s="20">
        <v>3267.7097966075921</v>
      </c>
      <c r="D129" s="28">
        <v>0.24196856336696212</v>
      </c>
      <c r="E129" s="28">
        <v>0.34396457765571398</v>
      </c>
      <c r="G129">
        <f>((D129-$D$2)^2+(E129-$E$2)^2)</f>
        <v>2.4227118889279023E-3</v>
      </c>
    </row>
    <row r="130" spans="3:7">
      <c r="C130" s="20">
        <v>3300.3868945736681</v>
      </c>
      <c r="D130" s="28">
        <v>0.24102681635029702</v>
      </c>
      <c r="E130" s="28">
        <v>0.34352264311996789</v>
      </c>
      <c r="G130">
        <f>((D130-$D$2)^2+(E130-$E$2)^2)</f>
        <v>2.3225684294567975E-3</v>
      </c>
    </row>
    <row r="131" spans="3:7">
      <c r="C131" s="20">
        <v>3333.3907635194046</v>
      </c>
      <c r="D131" s="28">
        <v>0.24009725568535281</v>
      </c>
      <c r="E131" s="28">
        <v>0.34307697389456315</v>
      </c>
      <c r="G131">
        <f>((D131-$D$2)^2+(E131-$E$2)^2)</f>
        <v>2.2253416710197945E-3</v>
      </c>
    </row>
    <row r="132" spans="3:7">
      <c r="C132" s="20">
        <v>3366.7246711545986</v>
      </c>
      <c r="D132" s="28">
        <v>0.23917979232663658</v>
      </c>
      <c r="E132" s="28">
        <v>0.34262768397010729</v>
      </c>
      <c r="G132">
        <f>((D132-$D$2)^2+(E132-$E$2)^2)</f>
        <v>2.1309727958748288E-3</v>
      </c>
    </row>
    <row r="133" spans="3:7">
      <c r="C133" s="20">
        <v>3400.3919178661445</v>
      </c>
      <c r="D133" s="28">
        <v>0.23827433624978464</v>
      </c>
      <c r="E133" s="28">
        <v>0.34217488779657945</v>
      </c>
      <c r="G133">
        <f>((D133-$D$2)^2+(E133-$E$2)^2)</f>
        <v>2.0394041436110123E-3</v>
      </c>
    </row>
    <row r="134" spans="3:7">
      <c r="C134" s="20">
        <v>3434.3958370448058</v>
      </c>
      <c r="D134" s="28">
        <v>0.23738079649499033</v>
      </c>
      <c r="E134" s="28">
        <v>0.34171870021058093</v>
      </c>
      <c r="G134">
        <f>((D134-$D$2)^2+(E134-$E$2)^2)</f>
        <v>1.9505791876991926E-3</v>
      </c>
    </row>
    <row r="135" spans="3:7">
      <c r="C135" s="20">
        <v>3468.7397954152539</v>
      </c>
      <c r="D135" s="28">
        <v>0.23649908120998156</v>
      </c>
      <c r="E135" s="28">
        <v>0.3412592363636886</v>
      </c>
      <c r="G135">
        <f>((D135-$D$2)^2+(E135-$E$2)^2)</f>
        <v>1.8644425120327348E-3</v>
      </c>
    </row>
    <row r="136" spans="3:7">
      <c r="C136" s="20">
        <v>3503.4271933694063</v>
      </c>
      <c r="D136" s="28">
        <v>0.23562909769252099</v>
      </c>
      <c r="E136" s="28">
        <v>0.34079661165195363</v>
      </c>
      <c r="G136">
        <f>((D136-$D$2)^2+(E136-$E$2)^2)</f>
        <v>1.7809397874980388E-3</v>
      </c>
    </row>
    <row r="137" spans="3:7">
      <c r="C137" s="20">
        <v>3538.4614653031003</v>
      </c>
      <c r="D137" s="28">
        <v>0.23477075243242307</v>
      </c>
      <c r="E137" s="28">
        <v>0.34033094164658506</v>
      </c>
      <c r="G137">
        <f>((D137-$D$2)^2+(E137-$E$2)^2)</f>
        <v>1.7000177486138504E-3</v>
      </c>
    </row>
    <row r="138" spans="3:7">
      <c r="C138" s="20">
        <v>3573.8460799561312</v>
      </c>
      <c r="D138" s="28">
        <v>0.23392395115305156</v>
      </c>
      <c r="E138" s="28">
        <v>0.33986234202585763</v>
      </c>
      <c r="G138">
        <f>((D138-$D$2)^2+(E138-$E$2)^2)</f>
        <v>1.6216241702744045E-3</v>
      </c>
    </row>
    <row r="139" spans="3:7">
      <c r="C139" s="20">
        <v>3609.5845407556926</v>
      </c>
      <c r="D139" s="28">
        <v>0.23308859885229616</v>
      </c>
      <c r="E139" s="28">
        <v>0.33939092850826952</v>
      </c>
      <c r="G139">
        <f>((D139-$D$2)^2+(E139-$E$2)^2)</f>
        <v>1.5457078446314012E-3</v>
      </c>
    </row>
    <row r="140" spans="3:7">
      <c r="C140" s="20">
        <v>3645.6803861632498</v>
      </c>
      <c r="D140" s="28">
        <v>0.23226459984299791</v>
      </c>
      <c r="E140" s="28">
        <v>0.33891681678698532</v>
      </c>
      <c r="G140">
        <f>((D140-$D$2)^2+(E140-$E$2)^2)</f>
        <v>1.4722185581464945E-3</v>
      </c>
    </row>
    <row r="141" spans="3:7">
      <c r="C141" s="20">
        <v>3682.1371900248823</v>
      </c>
      <c r="D141" s="28">
        <v>0.23145185779282446</v>
      </c>
      <c r="E141" s="28">
        <v>0.33844012246558153</v>
      </c>
      <c r="G141">
        <f>((D141-$D$2)^2+(E141-$E$2)^2)</f>
        <v>1.4011070688453807E-3</v>
      </c>
    </row>
    <row r="142" spans="3:7">
      <c r="C142" s="20">
        <v>3718.9585619251311</v>
      </c>
      <c r="D142" s="28">
        <v>0.23065027576356853</v>
      </c>
      <c r="E142" s="28">
        <v>0.33796096099512313</v>
      </c>
      <c r="G142">
        <f>((D142-$D$2)^2+(E142-$E$2)^2)</f>
        <v>1.3323250838015127E-3</v>
      </c>
    </row>
    <row r="143" spans="3:7">
      <c r="C143" s="20">
        <v>3756.1481475443825</v>
      </c>
      <c r="D143" s="28">
        <v>0.22985975624987098</v>
      </c>
      <c r="E143" s="28">
        <v>0.33747944761258075</v>
      </c>
      <c r="G143">
        <f>((D143-$D$2)^2+(E143-$E$2)^2)</f>
        <v>1.2658252368766088E-3</v>
      </c>
    </row>
    <row r="144" spans="3:7">
      <c r="C144" s="20">
        <v>3793.7096290198265</v>
      </c>
      <c r="D144" s="28">
        <v>0.22908020121734676</v>
      </c>
      <c r="E144" s="28">
        <v>0.33699569728061129</v>
      </c>
      <c r="G144">
        <f>((D144-$D$2)^2+(E144-$E$2)^2)</f>
        <v>1.2015610667425434E-3</v>
      </c>
    </row>
    <row r="145" spans="3:7">
      <c r="C145" s="20">
        <v>3831.646725310025</v>
      </c>
      <c r="D145" s="28">
        <v>0.22831151214011605</v>
      </c>
      <c r="E145" s="28">
        <v>0.33650982462870827</v>
      </c>
      <c r="G145">
        <f>((D145-$D$2)^2+(E145-$E$2)^2)</f>
        <v>1.1394869952082159E-3</v>
      </c>
    </row>
    <row r="146" spans="3:7">
      <c r="C146" s="20">
        <v>3869.9631925631252</v>
      </c>
      <c r="D146" s="28">
        <v>0.22755359003772568</v>
      </c>
      <c r="E146" s="28">
        <v>0.33602194389573392</v>
      </c>
      <c r="G146">
        <f>((D146-$D$2)^2+(E146-$E$2)^2)</f>
        <v>1.0795583058725155E-3</v>
      </c>
    </row>
    <row r="147" spans="3:7">
      <c r="C147" s="20">
        <v>3908.6628244887565</v>
      </c>
      <c r="D147" s="28">
        <v>0.22680633551146859</v>
      </c>
      <c r="E147" s="28">
        <v>0.33553216887383663</v>
      </c>
      <c r="G147">
        <f>((D147-$D$2)^2+(E147-$E$2)^2)</f>
        <v>1.0217311231237676E-3</v>
      </c>
    </row>
    <row r="148" spans="3:7">
      <c r="C148" s="20">
        <v>3947.7494527336439</v>
      </c>
      <c r="D148" s="28">
        <v>0.22606964878007843</v>
      </c>
      <c r="E148" s="28">
        <v>0.33504061285376202</v>
      </c>
      <c r="G148">
        <f>((D148-$D$2)^2+(E148-$E$2)^2)</f>
        <v>9.6596239150293164E-4</v>
      </c>
    </row>
    <row r="149" spans="3:7">
      <c r="C149" s="20">
        <v>3987.2269472609805</v>
      </c>
      <c r="D149" s="28">
        <v>0.22534342971481508</v>
      </c>
      <c r="E149" s="28">
        <v>0.33454738857155752</v>
      </c>
      <c r="G149">
        <f>((D149-$D$2)^2+(E149-$E$2)^2)</f>
        <v>9.1220985544797893E-4</v>
      </c>
    </row>
    <row r="150" spans="3:7">
      <c r="C150" s="20">
        <v>4027.0992167335903</v>
      </c>
      <c r="D150" s="28">
        <v>0.22462757787392801</v>
      </c>
      <c r="E150" s="28">
        <v>0.33405260815666971</v>
      </c>
      <c r="G150">
        <f>((D150-$D$2)^2+(E150-$E$2)^2)</f>
        <v>8.6043203943375873E-4</v>
      </c>
    </row>
    <row r="151" spans="3:7">
      <c r="C151" s="20">
        <v>4067.3702089009262</v>
      </c>
      <c r="D151" s="28">
        <v>0.22392199253650844</v>
      </c>
      <c r="E151" s="28">
        <v>0.33355638308143432</v>
      </c>
      <c r="G151">
        <f>((D151-$D$2)^2+(E151-$E$2)^2)</f>
        <v>8.1058822852140828E-4</v>
      </c>
    </row>
    <row r="152" spans="3:7">
      <c r="C152" s="20">
        <v>4108.0439109899353</v>
      </c>
      <c r="D152" s="28">
        <v>0.22322657273571631</v>
      </c>
      <c r="E152" s="28">
        <v>0.3330588241119582</v>
      </c>
      <c r="G152">
        <f>((D152-$D$2)^2+(E152-$E$2)^2)</f>
        <v>7.6263844932861343E-4</v>
      </c>
    </row>
    <row r="153" spans="3:7">
      <c r="C153" s="20">
        <v>4149.1243500998344</v>
      </c>
      <c r="D153" s="28">
        <v>0.222541217291403</v>
      </c>
      <c r="E153" s="28">
        <v>0.3325600412603813</v>
      </c>
      <c r="G153">
        <f>((D153-$D$2)^2+(E153-$E$2)^2)</f>
        <v>7.165434514319021E-4</v>
      </c>
    </row>
    <row r="154" spans="3:7">
      <c r="C154" s="20">
        <v>4190.6155936008327</v>
      </c>
      <c r="D154" s="28">
        <v>0.22186582484211734</v>
      </c>
      <c r="E154" s="28">
        <v>0.33206014373852172</v>
      </c>
      <c r="G154">
        <f>((D154-$D$2)^2+(E154-$E$2)^2)</f>
        <v>6.7226468920967251E-4</v>
      </c>
    </row>
    <row r="155" spans="3:7">
      <c r="C155" s="20">
        <v>4232.5217495368406</v>
      </c>
      <c r="D155" s="28">
        <v>0.22120029387650622</v>
      </c>
      <c r="E155" s="28">
        <v>0.33155923991289143</v>
      </c>
      <c r="G155">
        <f>((D155-$D$2)^2+(E155-$E$2)^2)</f>
        <v>6.2976430413392637E-4</v>
      </c>
    </row>
    <row r="156" spans="3:7">
      <c r="C156" s="20">
        <v>4274.8469670322092</v>
      </c>
      <c r="D156" s="28">
        <v>0.22054452276411857</v>
      </c>
      <c r="E156" s="28">
        <v>0.33105743726107639</v>
      </c>
      <c r="G156">
        <f>((D156-$D$2)^2+(E156-$E$2)^2)</f>
        <v>5.8900510751739763E-4</v>
      </c>
    </row>
    <row r="157" spans="3:7">
      <c r="C157" s="20">
        <v>4317.5954367025315</v>
      </c>
      <c r="D157" s="28">
        <v>0.21989840978560771</v>
      </c>
      <c r="E157" s="28">
        <v>0.33055484232947235</v>
      </c>
      <c r="G157">
        <f>((D157-$D$2)^2+(E157-$E$2)^2)</f>
        <v>5.4995056372090622E-4</v>
      </c>
    </row>
    <row r="158" spans="3:7">
      <c r="C158" s="20">
        <v>4360.7713910695566</v>
      </c>
      <c r="D158" s="28">
        <v>0.21926185316234978</v>
      </c>
      <c r="E158" s="28">
        <v>0.33005156069236807</v>
      </c>
      <c r="G158">
        <f>((D158-$D$2)^2+(E158-$E$2)^2)</f>
        <v>5.1256477382547686E-4</v>
      </c>
    </row>
    <row r="159" spans="3:7">
      <c r="C159" s="20">
        <v>4404.3791049802521</v>
      </c>
      <c r="D159" s="28">
        <v>0.21863475108547931</v>
      </c>
      <c r="E159" s="28">
        <v>0.32954769691236591</v>
      </c>
      <c r="G159">
        <f>((D159-$D$2)^2+(E159-$E$2)^2)</f>
        <v>4.7681245977187364E-4</v>
      </c>
    </row>
    <row r="160" spans="3:7">
      <c r="C160" s="20">
        <v>4448.4228960300543</v>
      </c>
      <c r="D160" s="28">
        <v>0.21801700174434707</v>
      </c>
      <c r="E160" s="28">
        <v>0.32904335450212829</v>
      </c>
      <c r="G160">
        <f>((D160-$D$2)^2+(E160-$E$2)^2)</f>
        <v>4.4265894896923589E-4</v>
      </c>
    </row>
    <row r="161" spans="3:7">
      <c r="C161" s="20">
        <v>4492.9071249903545</v>
      </c>
      <c r="D161" s="28">
        <v>0.21740850335441578</v>
      </c>
      <c r="E161" s="28">
        <v>0.32853863588744275</v>
      </c>
      <c r="G161">
        <f>((D161-$D$2)^2+(E161-$E$2)^2)</f>
        <v>4.1007015937390969E-4</v>
      </c>
    </row>
    <row r="162" spans="3:7">
      <c r="C162" s="20">
        <v>4537.8361962402578</v>
      </c>
      <c r="D162" s="28">
        <v>0.2168091541845947</v>
      </c>
      <c r="E162" s="28">
        <v>0.3280336423715921</v>
      </c>
      <c r="G162">
        <f>((D162-$D$2)^2+(E162-$E$2)^2)</f>
        <v>3.7901258503786144E-4</v>
      </c>
    </row>
    <row r="163" spans="3:7">
      <c r="C163" s="20">
        <v>4583.2145582026606</v>
      </c>
      <c r="D163" s="28">
        <v>0.21621885258402548</v>
      </c>
      <c r="E163" s="28">
        <v>0.32752847410102082</v>
      </c>
      <c r="G163">
        <f>((D163-$D$2)^2+(E163-$E$2)^2)</f>
        <v>3.494532821255979E-4</v>
      </c>
    </row>
    <row r="164" spans="3:7">
      <c r="C164" s="20">
        <v>4629.0467037846875</v>
      </c>
      <c r="D164" s="28">
        <v>0.21563749700832463</v>
      </c>
      <c r="E164" s="28">
        <v>0.32702323003228723</v>
      </c>
      <c r="G164">
        <f>((D164-$D$2)^2+(E164-$E$2)^2)</f>
        <v>3.21359855397331E-4</v>
      </c>
    </row>
    <row r="165" spans="3:7">
      <c r="C165" s="20">
        <v>4675.3371708225341</v>
      </c>
      <c r="D165" s="28">
        <v>0.21506498604529545</v>
      </c>
      <c r="E165" s="28">
        <v>0.32651800790029034</v>
      </c>
      <c r="G165">
        <f>((D165-$D$2)^2+(E165-$E$2)^2)</f>
        <v>2.947004451554371E-4</v>
      </c>
    </row>
    <row r="166" spans="3:7">
      <c r="C166" s="20">
        <v>4722.0905425307592</v>
      </c>
      <c r="D166" s="28">
        <v>0.21450121844011247</v>
      </c>
      <c r="E166" s="28">
        <v>0.32601290418776135</v>
      </c>
      <c r="G166">
        <f>((D166-$D$2)^2+(E166-$E$2)^2)</f>
        <v>2.694437146501713E-4</v>
      </c>
    </row>
    <row r="167" spans="3:7">
      <c r="C167" s="20">
        <v>4769.3114479560672</v>
      </c>
      <c r="D167" s="28">
        <v>0.21394609311999102</v>
      </c>
      <c r="E167" s="28">
        <v>0.32550801409600955</v>
      </c>
      <c r="G167">
        <f>((D167-$D$2)^2+(E167-$E$2)^2)</f>
        <v>2.4555883794008244E-4</v>
      </c>
    </row>
    <row r="168" spans="3:7">
      <c r="C168" s="20">
        <v>4817.004562435628</v>
      </c>
      <c r="D168" s="28">
        <v>0.21339950921835021</v>
      </c>
      <c r="E168" s="28">
        <v>0.32500343151691208</v>
      </c>
      <c r="G168">
        <f>((D168-$D$2)^2+(E168-$E$2)^2)</f>
        <v>2.2301548820168336E-4</v>
      </c>
    </row>
    <row r="169" spans="3:7">
      <c r="C169" s="20">
        <v>4865.1746080599842</v>
      </c>
      <c r="D169" s="28">
        <v>0.21286136609847264</v>
      </c>
      <c r="E169" s="28">
        <v>0.3244992490061408</v>
      </c>
      <c r="G169">
        <f>((D169-$D$2)^2+(E169-$E$2)^2)</f>
        <v>2.0178382648217534E-4</v>
      </c>
    </row>
    <row r="170" spans="3:7">
      <c r="C170" s="20">
        <v>4913.826354140584</v>
      </c>
      <c r="D170" s="28">
        <v>0.21233156337667836</v>
      </c>
      <c r="E170" s="28">
        <v>0.3239955577576108</v>
      </c>
      <c r="G170">
        <f>((D170-$D$2)^2+(E170-$E$2)^2)</f>
        <v>1.8183449088857832E-4</v>
      </c>
    </row>
    <row r="171" spans="3:7">
      <c r="C171" s="20">
        <v>4962.9646176819897</v>
      </c>
      <c r="D171" s="28">
        <v>0.2118100009450066</v>
      </c>
      <c r="E171" s="28">
        <v>0.32349244757914819</v>
      </c>
      <c r="G171">
        <f>((D171-$D$2)^2+(E171-$E$2)^2)</f>
        <v>1.6313858620563022E-4</v>
      </c>
    </row>
    <row r="172" spans="3:7">
      <c r="C172" s="20">
        <v>5012.5942638588094</v>
      </c>
      <c r="D172" s="28">
        <v>0.2112965789934266</v>
      </c>
      <c r="E172" s="28">
        <v>0.32299000686936474</v>
      </c>
      <c r="G172">
        <f>((D172-$D$2)^2+(E172-$E$2)^2)</f>
        <v>1.456676739347486E-4</v>
      </c>
    </row>
    <row r="173" spans="3:7">
      <c r="C173" s="20">
        <v>5062.7202064973972</v>
      </c>
      <c r="D173" s="28">
        <v>0.21079119803157456</v>
      </c>
      <c r="E173" s="28">
        <v>0.32248832259572968</v>
      </c>
      <c r="G173">
        <f>((D173-$D$2)^2+(E173-$E$2)^2)</f>
        <v>1.2939376274528983E-4</v>
      </c>
    </row>
    <row r="174" spans="3:7">
      <c r="C174" s="20">
        <v>5113.3474085623711</v>
      </c>
      <c r="D174" s="28">
        <v>0.21029375891002927</v>
      </c>
      <c r="E174" s="28">
        <v>0.32198748027383262</v>
      </c>
      <c r="G174">
        <f>((D174-$D$2)^2+(E174-$E$2)^2)</f>
        <v>1.1428929932925989E-4</v>
      </c>
    </row>
    <row r="175" spans="3:7">
      <c r="C175" s="20">
        <v>5164.4808826479948</v>
      </c>
      <c r="D175" s="28">
        <v>0.20980416284112688</v>
      </c>
      <c r="E175" s="28">
        <v>0.32148756394782957</v>
      </c>
      <c r="G175">
        <f>((D175-$D$2)^2+(E175-$E$2)^2)</f>
        <v>1.0032715964988145E-4</v>
      </c>
    </row>
    <row r="176" spans="3:7">
      <c r="C176" s="20">
        <v>5216.1256914744745</v>
      </c>
      <c r="D176" s="28">
        <v>0.20932231141932622</v>
      </c>
      <c r="E176" s="28">
        <v>0.32098865617206129</v>
      </c>
      <c r="G176">
        <f>((D176-$D$2)^2+(E176-$E$2)^2)</f>
        <v>8.7480640574209557E-5</v>
      </c>
    </row>
    <row r="177" spans="3:7">
      <c r="C177" s="20">
        <v>5268.2869483892191</v>
      </c>
      <c r="D177" s="28">
        <v>0.20884810664112335</v>
      </c>
      <c r="E177" s="28">
        <v>0.32049083799383959</v>
      </c>
      <c r="G177">
        <f>((D177-$D$2)^2+(E177-$E$2)^2)</f>
        <v>7.5723451879441722E-5</v>
      </c>
    </row>
    <row r="178" spans="3:7">
      <c r="C178" s="20">
        <v>5320.9698178731114</v>
      </c>
      <c r="D178" s="28">
        <v>0.20838145092452701</v>
      </c>
      <c r="E178" s="28">
        <v>0.31999418893739118</v>
      </c>
      <c r="G178">
        <f>((D178-$D$2)^2+(E178-$E$2)^2)</f>
        <v>6.5029708622402649E-5</v>
      </c>
    </row>
    <row r="179" spans="3:7">
      <c r="C179" s="20">
        <v>5374.1795160518423</v>
      </c>
      <c r="D179" s="28">
        <v>0.20792224712809138</v>
      </c>
      <c r="E179" s="28">
        <v>0.31949878698895362</v>
      </c>
      <c r="G179">
        <f>((D179-$D$2)^2+(E179-$E$2)^2)</f>
        <v>5.5373923861171219E-5</v>
      </c>
    </row>
    <row r="180" spans="3:7">
      <c r="C180" s="20">
        <v>5427.9213112123607</v>
      </c>
      <c r="D180" s="28">
        <v>0.20747039856951693</v>
      </c>
      <c r="E180" s="28">
        <v>0.31900470858301427</v>
      </c>
      <c r="G180">
        <f>((D180-$D$2)^2+(E180-$E$2)^2)</f>
        <v>4.6731001717758806E-5</v>
      </c>
    </row>
    <row r="181" spans="3:7">
      <c r="C181" s="20">
        <v>5482.2005243244839</v>
      </c>
      <c r="D181" s="28">
        <v>0.20702580904381535</v>
      </c>
      <c r="E181" s="28">
        <v>0.31851202858968564</v>
      </c>
      <c r="G181">
        <f>((D181-$D$2)^2+(E181-$E$2)^2)</f>
        <v>3.9076230770316075E-5</v>
      </c>
    </row>
    <row r="182" spans="3:7">
      <c r="C182" s="20">
        <v>5537.0225295677292</v>
      </c>
      <c r="D182" s="28">
        <v>0.20658838284104755</v>
      </c>
      <c r="E182" s="28">
        <v>0.31802082030320949</v>
      </c>
      <c r="G182">
        <f>((D182-$D$2)^2+(E182-$E$2)^2)</f>
        <v>3.2385277763332499E-5</v>
      </c>
    </row>
    <row r="183" spans="3:7">
      <c r="C183" s="20">
        <v>5592.3927548634065</v>
      </c>
      <c r="D183" s="28">
        <v>0.2061580247636329</v>
      </c>
      <c r="E183" s="28">
        <v>0.31753115543158145</v>
      </c>
      <c r="G183">
        <f>((D183-$D$2)^2+(E183-$E$2)^2)</f>
        <v>2.6634181623971352E-5</v>
      </c>
    </row>
    <row r="184" spans="3:7">
      <c r="C184" s="20">
        <v>5648.3166824120408</v>
      </c>
      <c r="D184" s="28">
        <v>0.20573464014323373</v>
      </c>
      <c r="E184" s="28">
        <v>0.31704310408728847</v>
      </c>
      <c r="G184">
        <f>((D184-$D$2)^2+(E184-$E$2)^2)</f>
        <v>2.1799347772651439E-5</v>
      </c>
    </row>
    <row r="185" spans="3:7">
      <c r="C185" s="20">
        <v>5704.7998492361612</v>
      </c>
      <c r="D185" s="28">
        <v>0.20531813485721104</v>
      </c>
      <c r="E185" s="28">
        <v>0.31655673477915164</v>
      </c>
      <c r="G185">
        <f>((D185-$D$2)^2+(E185-$E$2)^2)</f>
        <v>1.7857542715792664E-5</v>
      </c>
    </row>
    <row r="186" spans="3:7">
      <c r="C186" s="20">
        <v>5761.8478477285225</v>
      </c>
      <c r="D186" s="28">
        <v>0.20490841534466056</v>
      </c>
      <c r="E186" s="28">
        <v>0.3160721144052665</v>
      </c>
      <c r="G186">
        <f>((D186-$D$2)^2+(E186-$E$2)^2)</f>
        <v>1.4785888908714577E-5</v>
      </c>
    </row>
    <row r="187" spans="3:7">
      <c r="C187" s="20">
        <v>5819.4663262058075</v>
      </c>
      <c r="D187" s="28">
        <v>0.20450538862202403</v>
      </c>
      <c r="E187" s="28">
        <v>0.31558930824702813</v>
      </c>
      <c r="G187">
        <f>((D187-$D$2)^2+(E187-$E$2)^2)</f>
        <v>1.2561859876490534E-5</v>
      </c>
    </row>
    <row r="188" spans="3:7">
      <c r="C188" s="20">
        <v>5877.6609894678659</v>
      </c>
      <c r="D188" s="28">
        <v>0.2041089622982733</v>
      </c>
      <c r="E188" s="28">
        <v>0.31510837996423929</v>
      </c>
      <c r="G188">
        <f>((D188-$D$2)^2+(E188-$E$2)^2)</f>
        <v>1.1163275580605236E-5</v>
      </c>
    </row>
    <row r="189" spans="3:7">
      <c r="C189" s="20">
        <v>5936.4375993625445</v>
      </c>
      <c r="D189" s="28">
        <v>0.2037190445896761</v>
      </c>
      <c r="E189" s="28">
        <v>0.31462939159128434</v>
      </c>
      <c r="G189">
        <f>((D189-$D$2)^2+(E189-$E$2)^2)</f>
        <v>1.056829801935927E-5</v>
      </c>
    </row>
    <row r="190" spans="3:7">
      <c r="C190" s="20">
        <v>5995.8019753561703</v>
      </c>
      <c r="D190" s="28">
        <v>0.20333554433413178</v>
      </c>
      <c r="E190" s="28">
        <v>0.31415240353436569</v>
      </c>
      <c r="G190">
        <f>((D190-$D$2)^2+(E190-$E$2)^2)</f>
        <v>1.0755427049855908E-5</v>
      </c>
    </row>
    <row r="191" spans="3:7">
      <c r="C191" s="20">
        <v>6055.7599951097318</v>
      </c>
      <c r="D191" s="28">
        <v>0.20295837100508674</v>
      </c>
      <c r="E191" s="28">
        <v>0.31367747456978573</v>
      </c>
      <c r="G191">
        <f>((D191-$D$2)^2+(E191-$E$2)^2)</f>
        <v>1.1703496419652755E-5</v>
      </c>
    </row>
    <row r="192" spans="3:7">
      <c r="C192" s="20">
        <v>6116.3175950608293</v>
      </c>
      <c r="D192" s="28">
        <v>0.20258743472501753</v>
      </c>
      <c r="E192" s="28">
        <v>0.31320466184327017</v>
      </c>
      <c r="G192">
        <f>((D192-$D$2)^2+(E192-$E$2)^2)</f>
        <v>1.3391669996092434E-5</v>
      </c>
    </row>
    <row r="193" spans="3:7">
      <c r="C193" s="20">
        <v>6177.4807710114374</v>
      </c>
      <c r="D193" s="28">
        <v>0.20222264627848965</v>
      </c>
      <c r="E193" s="28">
        <v>0.31273402087031532</v>
      </c>
      <c r="G193">
        <f>((D193-$D$2)^2+(E193-$E$2)^2)</f>
        <v>1.5799438181606548E-5</v>
      </c>
    </row>
    <row r="194" spans="3:7">
      <c r="C194" s="20">
        <v>6239.2555787215515</v>
      </c>
      <c r="D194" s="28">
        <v>0.20186391712478863</v>
      </c>
      <c r="E194" s="28">
        <v>0.31226560553754967</v>
      </c>
      <c r="G194">
        <f>((D194-$D$2)^2+(E194-$E$2)^2)</f>
        <v>1.8906614503336221E-5</v>
      </c>
    </row>
    <row r="195" spans="3:7">
      <c r="C195" s="20">
        <v>6301.6481345087668</v>
      </c>
      <c r="D195" s="28">
        <v>0.20151115941011755</v>
      </c>
      <c r="E195" s="28">
        <v>0.31179946810509662</v>
      </c>
      <c r="G195">
        <f>((D195-$D$2)^2+(E195-$E$2)^2)</f>
        <v>2.2693332365599569E-5</v>
      </c>
    </row>
    <row r="196" spans="3:7">
      <c r="C196" s="20">
        <v>6364.6646158538542</v>
      </c>
      <c r="D196" s="28">
        <v>0.2011642859793604</v>
      </c>
      <c r="E196" s="28">
        <v>0.31133565920992445</v>
      </c>
      <c r="G196">
        <f>((D196-$D$2)^2+(E196-$E$2)^2)</f>
        <v>2.7140041953956806E-5</v>
      </c>
    </row>
    <row r="197" spans="3:7">
      <c r="C197" s="20">
        <v>6428.3112620123929</v>
      </c>
      <c r="D197" s="28">
        <v>0.20082321038741696</v>
      </c>
      <c r="E197" s="28">
        <v>0.31087422787016866</v>
      </c>
      <c r="G197">
        <f>((D197-$D$2)^2+(E197-$E$2)^2)</f>
        <v>3.2227507279832698E-5</v>
      </c>
    </row>
    <row r="198" spans="3:7">
      <c r="C198" s="20">
        <v>6492.5943746325165</v>
      </c>
      <c r="D198" s="28">
        <v>0.20048784691009799</v>
      </c>
      <c r="E198" s="28">
        <v>0.31041522149041262</v>
      </c>
      <c r="G198">
        <f>((D198-$D$2)^2+(E198-$E$2)^2)</f>
        <v>3.7936803354851579E-5</v>
      </c>
    </row>
    <row r="199" spans="3:7">
      <c r="C199" s="20">
        <v>6557.5203183788417</v>
      </c>
      <c r="D199" s="28">
        <v>0.20015811055458244</v>
      </c>
      <c r="E199" s="28">
        <v>0.30995868586790809</v>
      </c>
      <c r="G199">
        <f>((D199-$D$2)^2+(E199-$E$2)^2)</f>
        <v>4.4249313484359927E-5</v>
      </c>
    </row>
    <row r="200" spans="3:7">
      <c r="C200" s="20">
        <v>6623.09552156263</v>
      </c>
      <c r="D200" s="28">
        <v>0.19983391706944054</v>
      </c>
      <c r="E200" s="28">
        <v>0.30950466519972275</v>
      </c>
      <c r="G200">
        <f>((D200-$D$2)^2+(E200-$E$2)^2)</f>
        <v>5.1146726669783504E-5</v>
      </c>
    </row>
    <row r="201" spans="3:7">
      <c r="C201" s="20">
        <v>6689.3264767782566</v>
      </c>
      <c r="D201" s="28">
        <v>0.19951518295421139</v>
      </c>
      <c r="E201" s="28">
        <v>0.30905320209079329</v>
      </c>
      <c r="G201">
        <f>((D201-$D$2)^2+(E201-$E$2)^2)</f>
        <v>5.8611035109858107E-5</v>
      </c>
    </row>
    <row r="202" spans="3:7">
      <c r="C202" s="20">
        <v>6756.2197415460396</v>
      </c>
      <c r="D202" s="28">
        <v>0.1992018254685432</v>
      </c>
      <c r="E202" s="28">
        <v>0.30860433756286842</v>
      </c>
      <c r="G202">
        <f>((D202-$D$2)^2+(E202-$E$2)^2)</f>
        <v>6.6624531790973322E-5</v>
      </c>
    </row>
    <row r="203" spans="3:7">
      <c r="C203" s="20">
        <v>6823.7819389614997</v>
      </c>
      <c r="D203" s="28">
        <v>0.19889376264088943</v>
      </c>
      <c r="E203" s="28">
        <v>0.30815811106432117</v>
      </c>
      <c r="G203">
        <f>((D203-$D$2)^2+(E203-$E$2)^2)</f>
        <v>7.5169808157249236E-5</v>
      </c>
    </row>
    <row r="204" spans="3:7">
      <c r="C204" s="20">
        <v>6892.0197583511144</v>
      </c>
      <c r="D204" s="28">
        <v>0.19859091327675982</v>
      </c>
      <c r="E204" s="28">
        <v>0.30771456048081186</v>
      </c>
      <c r="G204">
        <f>((D204-$D$2)^2+(E204-$E$2)^2)</f>
        <v>8.4229751851248004E-5</v>
      </c>
    </row>
    <row r="205" spans="3:7">
      <c r="C205" s="20">
        <v>6960.9399559346257</v>
      </c>
      <c r="D205" s="28">
        <v>0.19829319696653247</v>
      </c>
      <c r="E205" s="28">
        <v>0.30727372214677984</v>
      </c>
      <c r="G205">
        <f>((D205-$D$2)^2+(E205-$E$2)^2)</f>
        <v>9.3787544516560424E-5</v>
      </c>
    </row>
    <row r="206" spans="3:7">
      <c r="C206" s="20">
        <v>7030.5493554939721</v>
      </c>
      <c r="D206" s="28">
        <v>0.19800053409281554</v>
      </c>
      <c r="E206" s="28">
        <v>0.30683563085774329</v>
      </c>
      <c r="G206">
        <f>((D206-$D$2)^2+(E206-$E$2)^2)</f>
        <v>1.0382665965389262E-4</v>
      </c>
    </row>
    <row r="207" spans="3:7">
      <c r="C207" s="20">
        <v>7100.854849048912</v>
      </c>
      <c r="D207" s="28">
        <v>0.19771284583737039</v>
      </c>
      <c r="E207" s="28">
        <v>0.30640031988338551</v>
      </c>
      <c r="G207">
        <f>((D207-$D$2)^2+(E207-$E$2)^2)</f>
        <v>1.1433086052252857E-4</v>
      </c>
    </row>
    <row r="208" spans="3:7">
      <c r="C208" s="20">
        <v>7171.8633975394014</v>
      </c>
      <c r="D208" s="28">
        <v>0.19743005418758755</v>
      </c>
      <c r="E208" s="28">
        <v>0.30596782098140363</v>
      </c>
      <c r="G208">
        <f>((D208-$D$2)^2+(E208-$E$2)^2)</f>
        <v>1.2528419807952807E-4</v>
      </c>
    </row>
    <row r="209" spans="3:7">
      <c r="C209" s="20">
        <v>7243.5820315147957</v>
      </c>
      <c r="D209" s="28">
        <v>0.19715208194251752</v>
      </c>
      <c r="E209" s="28">
        <v>0.30553816441209675</v>
      </c>
      <c r="G209">
        <f>((D209-$D$2)^2+(E209-$E$2)^2)</f>
        <v>1.3667100894931584E-4</v>
      </c>
    </row>
    <row r="210" spans="3:7">
      <c r="C210" s="20">
        <v>7316.0178518299435</v>
      </c>
      <c r="D210" s="28">
        <v>0.1968788527184647</v>
      </c>
      <c r="E210" s="28">
        <v>0.30511137895367091</v>
      </c>
      <c r="G210">
        <f>((D210-$D$2)^2+(E210-$E$2)^2)</f>
        <v>1.4847591341659753E-4</v>
      </c>
    </row>
    <row r="211" spans="3:7">
      <c r="C211" s="20">
        <v>7389.1780303482428</v>
      </c>
      <c r="D211" s="28">
        <v>0.19661029095413321</v>
      </c>
      <c r="E211" s="28">
        <v>0.30468749191823274</v>
      </c>
      <c r="G211">
        <f>((D211-$D$2)^2+(E211-$E$2)^2)</f>
        <v>1.6068381343616259E-4</v>
      </c>
    </row>
    <row r="212" spans="3:7">
      <c r="C212" s="20">
        <v>7463.0698106517257</v>
      </c>
      <c r="D212" s="28">
        <v>0.19634632191533916</v>
      </c>
      <c r="E212" s="28">
        <v>0.30426652916845143</v>
      </c>
      <c r="G212">
        <f>((D212-$D$2)^2+(E212-$E$2)^2)</f>
        <v>1.7327989065313724E-4</v>
      </c>
    </row>
    <row r="213" spans="3:7">
      <c r="C213" s="20">
        <v>7537.7005087582429</v>
      </c>
      <c r="D213" s="28">
        <v>0.19608687169928266</v>
      </c>
      <c r="E213" s="28">
        <v>0.303848515134857</v>
      </c>
      <c r="G213">
        <f>((D213-$D$2)^2+(E213-$E$2)^2)</f>
        <v>1.8624960442803129E-4</v>
      </c>
    </row>
    <row r="214" spans="3:7">
      <c r="C214" s="20">
        <v>7613.0775138458257</v>
      </c>
      <c r="D214" s="28">
        <v>0.19583186723838475</v>
      </c>
      <c r="E214" s="28">
        <v>0.3034334728337546</v>
      </c>
      <c r="G214">
        <f>((D214-$D$2)^2+(E214-$E$2)^2)</f>
        <v>1.9957868986094057E-4</v>
      </c>
    </row>
    <row r="215" spans="3:7">
      <c r="C215" s="20">
        <v>7689.2082889842841</v>
      </c>
      <c r="D215" s="28">
        <v>0.19558123630369123</v>
      </c>
      <c r="E215" s="28">
        <v>0.30302142388572506</v>
      </c>
      <c r="G215">
        <f>((D215-$D$2)^2+(E215-$E$2)^2)</f>
        <v>2.1325315580985815E-4</v>
      </c>
    </row>
    <row r="216" spans="3:7">
      <c r="C216" s="20">
        <v>7766.1003718741267</v>
      </c>
      <c r="D216" s="28">
        <v>0.1953349075078519</v>
      </c>
      <c r="E216" s="28">
        <v>0.30261238853468331</v>
      </c>
      <c r="G216">
        <f>((D216-$D$2)^2+(E216-$E$2)^2)</f>
        <v>2.272592828983299E-4</v>
      </c>
    </row>
    <row r="217" spans="3:7">
      <c r="C217" s="20">
        <v>7843.7613755928678</v>
      </c>
      <c r="D217" s="28">
        <v>0.19509281030767031</v>
      </c>
      <c r="E217" s="28">
        <v>0.30220638566747171</v>
      </c>
      <c r="G217">
        <f>((D217-$D$2)^2+(E217-$E$2)^2)</f>
        <v>2.4158362150803885E-4</v>
      </c>
    </row>
    <row r="218" spans="3:7">
      <c r="C218" s="20">
        <v>7922.1989893487962</v>
      </c>
      <c r="D218" s="28">
        <v>0.19485487500623369</v>
      </c>
      <c r="E218" s="28">
        <v>0.30180343283395522</v>
      </c>
      <c r="G218">
        <f>((D218-$D$2)^2+(E218-$E$2)^2)</f>
        <v>2.5621298975238147E-4</v>
      </c>
    </row>
    <row r="219" spans="3:7">
      <c r="C219" s="20">
        <v>8001.4209792422844</v>
      </c>
      <c r="D219" s="28">
        <v>0.19462103275462925</v>
      </c>
      <c r="E219" s="28">
        <v>0.30140354626759425</v>
      </c>
      <c r="G219">
        <f>((D219-$D$2)^2+(E219-$E$2)^2)</f>
        <v>2.7113447142723717E-4</v>
      </c>
    </row>
    <row r="220" spans="3:7">
      <c r="C220" s="20">
        <v>8081.435189034707</v>
      </c>
      <c r="D220" s="28">
        <v>0.19439121555324207</v>
      </c>
      <c r="E220" s="28">
        <v>0.30100674090646595</v>
      </c>
      <c r="G220">
        <f>((D220-$D$2)^2+(E220-$E$2)^2)</f>
        <v>2.8633541393575988E-4</v>
      </c>
    </row>
    <row r="221" spans="3:7">
      <c r="C221" s="20">
        <v>8162.2495409250541</v>
      </c>
      <c r="D221" s="28">
        <v>0.19416535625265607</v>
      </c>
      <c r="E221" s="28">
        <v>0.30061303041470483</v>
      </c>
      <c r="G221">
        <f>((D221-$D$2)^2+(E221-$E$2)^2)</f>
        <v>3.0180342618403789E-4</v>
      </c>
    </row>
    <row r="222" spans="3:7">
      <c r="C222" s="20">
        <v>8243.8720363343054</v>
      </c>
      <c r="D222" s="28">
        <v>0.19394338855414578</v>
      </c>
      <c r="E222" s="28">
        <v>0.30022242720433601</v>
      </c>
      <c r="G222">
        <f>((D222-$D$2)^2+(E222-$E$2)^2)</f>
        <v>3.1752637644514724E-4</v>
      </c>
    </row>
    <row r="223" spans="3:7">
      <c r="C223" s="20">
        <v>8326.3107566976487</v>
      </c>
      <c r="D223" s="28">
        <v>0.1937252470097808</v>
      </c>
      <c r="E223" s="28">
        <v>0.2998349424574695</v>
      </c>
      <c r="G223">
        <f>((D223-$D$2)^2+(E223-$E$2)^2)</f>
        <v>3.3349239018918311E-4</v>
      </c>
    </row>
    <row r="224" spans="3:7">
      <c r="C224" s="20">
        <v>8409.5738642646247</v>
      </c>
      <c r="D224" s="28">
        <v>0.19351086702213438</v>
      </c>
      <c r="E224" s="28">
        <v>0.29945058614883319</v>
      </c>
      <c r="G224">
        <f>((D224-$D$2)^2+(E224-$E$2)^2)</f>
        <v>3.4968984787727466E-4</v>
      </c>
    </row>
    <row r="225" spans="3:7">
      <c r="C225" s="20">
        <v>8493.6696029072718</v>
      </c>
      <c r="D225" s="28">
        <v>0.19330018484361938</v>
      </c>
      <c r="E225" s="28">
        <v>0.29906936706860821</v>
      </c>
      <c r="G225">
        <f>((D225-$D$2)^2+(E225-$E$2)^2)</f>
        <v>3.6610738271791249E-4</v>
      </c>
    </row>
    <row r="226" spans="3:7">
      <c r="C226" s="20">
        <v>8578.6062989363454</v>
      </c>
      <c r="D226" s="28">
        <v>0.19309313757544286</v>
      </c>
      <c r="E226" s="28">
        <v>0.29869129284554674</v>
      </c>
      <c r="G226">
        <f>((D226-$D$2)^2+(E226-$E$2)^2)</f>
        <v>3.8273387838415443E-4</v>
      </c>
    </row>
    <row r="227" spans="3:7">
      <c r="C227" s="20">
        <v>8664.3923619257093</v>
      </c>
      <c r="D227" s="28">
        <v>0.19288966316620007</v>
      </c>
      <c r="E227" s="28">
        <v>0.29831636997033656</v>
      </c>
      <c r="G227">
        <f>((D227-$D$2)^2+(E227-$E$2)^2)</f>
        <v>3.9955846669065541E-4</v>
      </c>
    </row>
    <row r="228" spans="3:7">
      <c r="C228" s="20">
        <v>8751.0362855449657</v>
      </c>
      <c r="D228" s="28">
        <v>0.19268970041010317</v>
      </c>
      <c r="E228" s="28">
        <v>0.29794460381919263</v>
      </c>
      <c r="G228">
        <f>((D228-$D$2)^2+(E228-$E$2)^2)</f>
        <v>4.1657052522959794E-4</v>
      </c>
    </row>
    <row r="229" spans="3:7">
      <c r="C229" s="20">
        <v>8838.5466484004155</v>
      </c>
      <c r="D229" s="28">
        <v>0.19249318894486556</v>
      </c>
      <c r="E229" s="28">
        <v>0.29757599867763967</v>
      </c>
      <c r="G229">
        <f>((D229-$D$2)^2+(E229-$E$2)^2)</f>
        <v>4.3375967496505236E-4</v>
      </c>
    </row>
    <row r="230" spans="3:7">
      <c r="C230" s="20">
        <v>8926.9321148844192</v>
      </c>
      <c r="D230" s="28">
        <v>0.19230006924923998</v>
      </c>
      <c r="E230" s="28">
        <v>0.29721055776446687</v>
      </c>
      <c r="G230">
        <f>((D230-$D$2)^2+(E230-$E$2)^2)</f>
        <v>4.5111577778530576E-4</v>
      </c>
    </row>
    <row r="231" spans="3:7">
      <c r="C231" s="20">
        <v>9016.2014360332632</v>
      </c>
      <c r="D231" s="28">
        <v>0.19211028264022215</v>
      </c>
      <c r="E231" s="28">
        <v>0.29684828325582135</v>
      </c>
      <c r="G231">
        <f>((D231-$D$2)^2+(E231-$E$2)^2)</f>
        <v>4.686289340132706E-4</v>
      </c>
    </row>
    <row r="232" spans="3:7">
      <c r="C232" s="20">
        <v>9106.3634503935955</v>
      </c>
      <c r="D232" s="28">
        <v>0.19192377126993382</v>
      </c>
      <c r="E232" s="28">
        <v>0.2964891763094189</v>
      </c>
      <c r="G232">
        <f>((D232-$D$2)^2+(E232-$E$2)^2)</f>
        <v>4.8628947987485268E-4</v>
      </c>
    </row>
    <row r="233" spans="3:7">
      <c r="C233" s="20">
        <v>9197.427084897532</v>
      </c>
      <c r="D233" s="28">
        <v>0.19174047812218314</v>
      </c>
      <c r="E233" s="28">
        <v>0.29613323708884215</v>
      </c>
      <c r="G233">
        <f>((D233-$D$2)^2+(E233-$E$2)^2)</f>
        <v>5.040879849259731E-4</v>
      </c>
    </row>
    <row r="234" spans="3:7">
      <c r="C234" s="20">
        <v>9289.4013557465078</v>
      </c>
      <c r="D234" s="28">
        <v>0.19156034700872662</v>
      </c>
      <c r="E234" s="28">
        <v>0.29578046478790448</v>
      </c>
      <c r="G234">
        <f>((D234-$D$2)^2+(E234-$E$2)^2)</f>
        <v>5.2201524943840832E-4</v>
      </c>
    </row>
    <row r="235" spans="3:7">
      <c r="C235" s="20">
        <v>9382.2953693039726</v>
      </c>
      <c r="D235" s="28">
        <v>0.19138332256522336</v>
      </c>
      <c r="E235" s="28">
        <v>0.29543085765505195</v>
      </c>
      <c r="G235">
        <f>((D235-$D$2)^2+(E235-$E$2)^2)</f>
        <v>5.4006230174564573E-4</v>
      </c>
    </row>
    <row r="236" spans="3:7">
      <c r="C236" s="20">
        <v>9476.118322997012</v>
      </c>
      <c r="D236" s="28">
        <v>0.19120935024691516</v>
      </c>
      <c r="E236" s="28">
        <v>0.29508441301777916</v>
      </c>
      <c r="G236">
        <f>((D236-$D$2)^2+(E236-$E$2)^2)</f>
        <v>5.5822039554923562E-4</v>
      </c>
    </row>
    <row r="237" spans="3:7">
      <c r="C237" s="20">
        <v>9570.8795062269819</v>
      </c>
      <c r="D237" s="28">
        <v>0.19103837632401244</v>
      </c>
      <c r="E237" s="28">
        <v>0.29474112730703977</v>
      </c>
      <c r="G237">
        <f>((D237-$D$2)^2+(E237-$E$2)^2)</f>
        <v>5.7648100718711548E-4</v>
      </c>
    </row>
    <row r="238" spans="3:7">
      <c r="C238" s="20">
        <v>9666.5883012892518</v>
      </c>
      <c r="D238" s="28">
        <v>0.1908703478768268</v>
      </c>
      <c r="E238" s="28">
        <v>0.29440099608162029</v>
      </c>
      <c r="G238">
        <f>((D238-$D$2)^2+(E238-$E$2)^2)</f>
        <v>5.9483583286491228E-4</v>
      </c>
    </row>
    <row r="239" spans="3:7">
      <c r="C239" s="20">
        <v>9763.2541843021445</v>
      </c>
      <c r="D239" s="28">
        <v>0.19070521279063607</v>
      </c>
      <c r="E239" s="28">
        <v>0.29406401405246207</v>
      </c>
      <c r="G239">
        <f>((D239-$D$2)^2+(E239-$E$2)^2)</f>
        <v>6.1327678585176349E-4</v>
      </c>
    </row>
    <row r="240" spans="3:7">
      <c r="C240" s="20">
        <v>9860.8867261451669</v>
      </c>
      <c r="D240" s="28">
        <v>0.19054291975030294</v>
      </c>
      <c r="E240" s="28">
        <v>0.29373017510690819</v>
      </c>
      <c r="G240">
        <f>((D240-$D$2)^2+(E240-$E$2)^2)</f>
        <v>6.3179599364203431E-4</v>
      </c>
    </row>
    <row r="241" spans="3:7">
      <c r="C241" s="20">
        <v>9959.4955934066184</v>
      </c>
      <c r="D241" s="28">
        <v>0.19038341823466082</v>
      </c>
      <c r="E241" s="28">
        <v>0.29339947233285002</v>
      </c>
      <c r="G241">
        <f>((D241-$D$2)^2+(E241-$E$2)^2)</f>
        <v>6.5038579508466473E-4</v>
      </c>
    </row>
    <row r="242" spans="3:7">
      <c r="C242" s="20">
        <v>10059.090549340684</v>
      </c>
      <c r="D242" s="28">
        <v>0.1902266585106594</v>
      </c>
      <c r="E242" s="28">
        <v>0.29307189804275924</v>
      </c>
      <c r="G242">
        <f>((D242-$D$2)^2+(E242-$E$2)^2)</f>
        <v>6.6903873748199848E-4</v>
      </c>
    </row>
    <row r="243" spans="3:7">
      <c r="C243" s="20">
        <v>10159.681454834092</v>
      </c>
      <c r="D243" s="28">
        <v>0.19007259162730808</v>
      </c>
      <c r="E243" s="28">
        <v>0.29274744379758022</v>
      </c>
      <c r="G243">
        <f>((D243-$D$2)^2+(E243-$E$2)^2)</f>
        <v>6.87747573659574E-4</v>
      </c>
    </row>
    <row r="244" spans="3:7">
      <c r="C244" s="20">
        <v>10261.278269382432</v>
      </c>
      <c r="D244" s="28">
        <v>0.18992116940939793</v>
      </c>
      <c r="E244" s="28">
        <v>0.29242610043046857</v>
      </c>
      <c r="G244">
        <f>((D244-$D$2)^2+(E244-$E$2)^2)</f>
        <v>7.0650525900922126E-4</v>
      </c>
    </row>
    <row r="245" spans="3:7">
      <c r="C245" s="20">
        <v>10363.891052076257</v>
      </c>
      <c r="D245" s="28">
        <v>0.18977234445103067</v>
      </c>
      <c r="E245" s="28">
        <v>0.29210785807035339</v>
      </c>
      <c r="G245">
        <f>((D245-$D$2)^2+(E245-$E$2)^2)</f>
        <v>7.2530494850726532E-4</v>
      </c>
    </row>
    <row r="246" spans="3:7">
      <c r="C246" s="20">
        <v>10467.529962597018</v>
      </c>
      <c r="D246" s="28">
        <v>0.18962607010896348</v>
      </c>
      <c r="E246" s="28">
        <v>0.29179270616531011</v>
      </c>
      <c r="G246">
        <f>((D246-$D$2)^2+(E246-$E$2)^2)</f>
        <v>7.4413999370971466E-4</v>
      </c>
    </row>
    <row r="247" spans="3:7">
      <c r="C247" s="20">
        <v>10572.205262222989</v>
      </c>
      <c r="D247" s="28">
        <v>0.1894823004957697</v>
      </c>
      <c r="E247" s="28">
        <v>0.29148063350572401</v>
      </c>
      <c r="G247">
        <f>((D247-$D$2)^2+(E247-$E$2)^2)</f>
        <v>7.6300393972693142E-4</v>
      </c>
    </row>
    <row r="248" spans="3:7">
      <c r="C248" s="20">
        <v>10677.927314845219</v>
      </c>
      <c r="D248" s="28">
        <v>0.18934099047283506</v>
      </c>
      <c r="E248" s="28">
        <v>0.2911716282472297</v>
      </c>
      <c r="G248">
        <f>((D248-$D$2)^2+(E248-$E$2)^2)</f>
        <v>7.8189052217965697E-4</v>
      </c>
    </row>
    <row r="249" spans="3:7">
      <c r="C249" s="20">
        <v>10784.706587993671</v>
      </c>
      <c r="D249" s="16">
        <v>0.1892020956431951</v>
      </c>
      <c r="E249" s="16">
        <v>0.29086567793341322</v>
      </c>
      <c r="G249">
        <f>((D249-$D$2)^2+(E249-$E$2)^2)</f>
        <v>8.0079366413860734E-4</v>
      </c>
    </row>
    <row r="250" spans="3:7">
      <c r="C250" s="20">
        <v>10892.553653873607</v>
      </c>
      <c r="D250" s="16">
        <v>0.18906557234422369</v>
      </c>
      <c r="E250" s="16">
        <v>0.29056276951825971</v>
      </c>
      <c r="G250">
        <f>((D250-$D$2)^2+(E250-$E$2)^2)</f>
        <v>8.1970747304997043E-4</v>
      </c>
    </row>
    <row r="251" spans="3:7">
      <c r="C251" s="20">
        <v>11001.479190412343</v>
      </c>
      <c r="D251" s="16">
        <v>0.18893137764018456</v>
      </c>
      <c r="E251" s="16">
        <v>0.29026288938833539</v>
      </c>
      <c r="G251">
        <f>((D251-$D$2)^2+(E251-$E$2)^2)</f>
        <v>8.3862623764887755E-4</v>
      </c>
    </row>
    <row r="252" spans="3:7">
      <c r="C252" s="20">
        <v>11111.493982316466</v>
      </c>
      <c r="D252" s="16">
        <v>0.18879946931465003</v>
      </c>
      <c r="E252" s="16">
        <v>0.28996602338469035</v>
      </c>
      <c r="G252">
        <f>((D252-$D$2)^2+(E252-$E$2)^2)</f>
        <v>8.5754442486325343E-4</v>
      </c>
    </row>
    <row r="253" spans="3:7">
      <c r="C253" s="20">
        <v>11222.608922139631</v>
      </c>
      <c r="D253" s="16">
        <v>0.1886698058628043</v>
      </c>
      <c r="E253" s="16">
        <v>0.28967215682447089</v>
      </c>
      <c r="G253">
        <f>((D253-$D$2)^2+(E253-$E$2)^2)</f>
        <v>8.7645667671005872E-4</v>
      </c>
    </row>
    <row r="254" spans="3:7">
      <c r="C254" s="20">
        <v>11334.835011361027</v>
      </c>
      <c r="D254" s="16">
        <v>0.18854234648363036</v>
      </c>
      <c r="E254" s="16">
        <v>0.28938127452222917</v>
      </c>
      <c r="G254">
        <f>((D254-$D$2)^2+(E254-$E$2)^2)</f>
        <v>8.9535780718645423E-4</v>
      </c>
    </row>
    <row r="255" spans="3:7">
      <c r="C255" s="20">
        <v>11448.183361474637</v>
      </c>
      <c r="D255" s="16">
        <v>0.18841705107200235</v>
      </c>
      <c r="E255" s="16">
        <v>0.2890933608109203</v>
      </c>
      <c r="G255">
        <f>((D255-$D$2)^2+(E255-$E$2)^2)</f>
        <v>9.1424279915777219E-4</v>
      </c>
    </row>
    <row r="256" spans="3:7">
      <c r="C256" s="20">
        <v>11562.665195089385</v>
      </c>
      <c r="D256" s="16">
        <v>0.18829388021067595</v>
      </c>
      <c r="E256" s="16">
        <v>0.28880839956257987</v>
      </c>
      <c r="G256">
        <f>((D256-$D$2)^2+(E256-$E$2)^2)</f>
        <v>9.3310680124475431E-4</v>
      </c>
    </row>
    <row r="257" spans="3:7">
      <c r="C257" s="20">
        <v>11678.291847040278</v>
      </c>
      <c r="D257" s="16">
        <v>0.18817279516220625</v>
      </c>
      <c r="E257" s="16">
        <v>0.28852637420866711</v>
      </c>
      <c r="G257">
        <f>((D257-$D$2)^2+(E257-$E$2)^2)</f>
        <v>9.5194512471202797E-4</v>
      </c>
    </row>
    <row r="258" spans="3:7">
      <c r="C258" s="20">
        <v>11795.074765510681</v>
      </c>
      <c r="D258" s="16">
        <v>0.18805375786077594</v>
      </c>
      <c r="E258" s="16">
        <v>0.28824726776007359</v>
      </c>
      <c r="G258">
        <f>((D258-$D$2)^2+(E258-$E$2)^2)</f>
        <v>9.7075324036018031E-4</v>
      </c>
    </row>
    <row r="259" spans="3:7">
      <c r="C259" s="20">
        <v>11913.025513165787</v>
      </c>
      <c r="D259" s="16">
        <v>0.18793673090397059</v>
      </c>
      <c r="E259" s="16">
        <v>0.28797106282678164</v>
      </c>
      <c r="G259">
        <f>((D259-$D$2)^2+(E259-$E$2)^2)</f>
        <v>9.8952677542325632E-4</v>
      </c>
    </row>
    <row r="260" spans="3:7">
      <c r="C260" s="20">
        <v>12032.155768297445</v>
      </c>
      <c r="D260" s="16">
        <v>0.18782167754448209</v>
      </c>
      <c r="E260" s="16">
        <v>0.28769774163717382</v>
      </c>
      <c r="G260">
        <f>((D260-$D$2)^2+(E260-$E$2)^2)</f>
        <v>1.0082615104740178E-3</v>
      </c>
    </row>
    <row r="261" spans="3:7">
      <c r="C261" s="20">
        <v>12152.477325980421</v>
      </c>
      <c r="D261" s="16">
        <v>0.18770856168176886</v>
      </c>
      <c r="E261" s="16">
        <v>0.28742728605698115</v>
      </c>
      <c r="G261">
        <f>((D261-$D$2)^2+(E261-$E$2)^2)</f>
        <v>1.0269533763387719E-3</v>
      </c>
    </row>
    <row r="262" spans="3:7">
      <c r="C262" s="20">
        <v>12274.002099240224</v>
      </c>
      <c r="D262" s="16">
        <v>0.18759734785366999</v>
      </c>
      <c r="E262" s="16">
        <v>0.28715967760786776</v>
      </c>
      <c r="G262">
        <f>((D262-$D$2)^2+(E262-$E$2)^2)</f>
        <v>1.0455984510238637E-3</v>
      </c>
    </row>
    <row r="263" spans="3:7">
      <c r="C263" s="20">
        <v>12396.742120232626</v>
      </c>
      <c r="D263" s="16">
        <v>0.1874880012279817</v>
      </c>
      <c r="E263" s="16">
        <v>0.28689489748564834</v>
      </c>
      <c r="G263">
        <f>((D263-$D$2)^2+(E263-$E$2)^2)</f>
        <v>1.0641929566556566E-3</v>
      </c>
    </row>
    <row r="264" spans="3:7">
      <c r="C264" s="20">
        <v>12520.709541434951</v>
      </c>
      <c r="D264" s="16">
        <v>0.18738048759400702</v>
      </c>
      <c r="E264" s="16">
        <v>0.28663292657813205</v>
      </c>
      <c r="G264">
        <f>((D264-$D$2)^2+(E264-$E$2)^2)</f>
        <v>1.0827332564358899E-3</v>
      </c>
    </row>
    <row r="265" spans="3:7">
      <c r="C265" s="20">
        <v>12645.916636849301</v>
      </c>
      <c r="D265" s="16">
        <v>0.18727477335408105</v>
      </c>
      <c r="E265" s="16">
        <v>0.28637374548258859</v>
      </c>
      <c r="G265">
        <f>((D265-$D$2)^2+(E265-$E$2)^2)</f>
        <v>1.1012158516144107E-3</v>
      </c>
    </row>
    <row r="266" spans="3:7">
      <c r="C266" s="20">
        <v>12772.375803217794</v>
      </c>
      <c r="D266" s="16">
        <v>0.18717082551508438</v>
      </c>
      <c r="E266" s="16">
        <v>0.28611733452284016</v>
      </c>
      <c r="G266">
        <f>((D266-$D$2)^2+(E266-$E$2)^2)</f>
        <v>1.1196373784804607E-3</v>
      </c>
    </row>
    <row r="267" spans="3:7">
      <c r="C267" s="20">
        <v>12900.099561249972</v>
      </c>
      <c r="D267" s="16">
        <v>0.18706861167994404</v>
      </c>
      <c r="E267" s="16">
        <v>0.28586367376596733</v>
      </c>
      <c r="G267">
        <f>((D267-$D$2)^2+(E267-$E$2)^2)</f>
        <v>1.1379946053749796E-3</v>
      </c>
    </row>
    <row r="268" spans="3:7">
      <c r="C268" s="20">
        <v>13029.100556862471</v>
      </c>
      <c r="D268" s="16">
        <v>0.18696810003913614</v>
      </c>
      <c r="E268" s="16">
        <v>0.28561274303863554</v>
      </c>
      <c r="G268">
        <f>((D268-$D$2)^2+(E268-$E$2)^2)</f>
        <v>1.1562844297248211E-3</v>
      </c>
    </row>
    <row r="269" spans="3:7">
      <c r="C269" s="20">
        <v>13159.391562431096</v>
      </c>
      <c r="D269" s="16">
        <v>0.1868692593621871</v>
      </c>
      <c r="E269" s="16">
        <v>0.28536452194303735</v>
      </c>
      <c r="G269">
        <f>((D269-$D$2)^2+(E269-$E$2)^2)</f>
        <v>1.1745038751009023E-3</v>
      </c>
    </row>
    <row r="270" spans="3:7">
      <c r="C270" s="20">
        <v>13290.985478055407</v>
      </c>
      <c r="D270" s="16">
        <v>0.18677205898919233</v>
      </c>
      <c r="E270" s="16">
        <v>0.28511898987244916</v>
      </c>
      <c r="G270">
        <f>((D270-$D$2)^2+(E270-$E$2)^2)</f>
        <v>1.1926500883014484E-3</v>
      </c>
    </row>
    <row r="271" spans="3:7">
      <c r="C271" s="20">
        <v>13423.89533283596</v>
      </c>
      <c r="D271" s="16">
        <v>0.18667646882234171</v>
      </c>
      <c r="E271" s="16">
        <v>0.28487612602640522</v>
      </c>
      <c r="G271">
        <f>((D271-$D$2)^2+(E271-$E$2)^2)</f>
        <v>1.210720336462016E-3</v>
      </c>
    </row>
    <row r="272" spans="3:7">
      <c r="C272" s="20">
        <v>13558.134286164321</v>
      </c>
      <c r="D272" s="16">
        <v>0.18658245931747169</v>
      </c>
      <c r="E272" s="16">
        <v>0.28463590942548611</v>
      </c>
      <c r="G272">
        <f>((D272-$D$2)^2+(E272-$E$2)^2)</f>
        <v>1.2287120041934304E-3</v>
      </c>
    </row>
    <row r="273" spans="3:7">
      <c r="C273" s="20">
        <v>13693.715629025965</v>
      </c>
      <c r="D273" s="16">
        <v>0.1864900014756406</v>
      </c>
      <c r="E273" s="16">
        <v>0.28439831892572615</v>
      </c>
      <c r="G273">
        <f>((D273-$D$2)^2+(E273-$E$2)^2)</f>
        <v>1.2466225907489178E-3</v>
      </c>
    </row>
    <row r="274" spans="3:7">
      <c r="C274" s="20">
        <v>13830.652785316224</v>
      </c>
      <c r="D274" s="16">
        <v>0.186399066834737</v>
      </c>
      <c r="E274" s="16">
        <v>0.28416333323263626</v>
      </c>
      <c r="G274">
        <f>((D274-$D$2)^2+(E274-$E$2)^2)</f>
        <v>1.2644497072217906E-3</v>
      </c>
    </row>
    <row r="275" spans="3:7">
      <c r="C275" s="20">
        <v>13968.959313169387</v>
      </c>
      <c r="D275" s="16">
        <v>0.18630962746112076</v>
      </c>
      <c r="E275" s="16">
        <v>0.28393093091484961</v>
      </c>
      <c r="G275">
        <f>((D275-$D$2)^2+(E275-$E$2)^2)</f>
        <v>1.2821910737746147E-3</v>
      </c>
    </row>
    <row r="276" spans="3:7">
      <c r="C276" s="20">
        <v>14108.648906301081</v>
      </c>
      <c r="D276" s="16">
        <v>0.18622165594130666</v>
      </c>
      <c r="E276" s="16">
        <v>0.28370109041738656</v>
      </c>
      <c r="G276">
        <f>((D276-$D$2)^2+(E276-$E$2)^2)</f>
        <v>1.299844516901101E-3</v>
      </c>
    </row>
    <row r="277" spans="3:7">
      <c r="C277" s="20">
        <v>14249.735395364092</v>
      </c>
      <c r="D277" s="16">
        <v>0.18613512537369251</v>
      </c>
      <c r="E277" s="16">
        <v>0.28347379007454582</v>
      </c>
      <c r="G277">
        <f>((D277-$D$2)^2+(E277-$E$2)^2)</f>
        <v>1.3174079667215089E-3</v>
      </c>
    </row>
    <row r="278" spans="3:7">
      <c r="C278" s="20">
        <v>14392.232749317733</v>
      </c>
      <c r="D278" s="16">
        <v>0.18605000936033339</v>
      </c>
      <c r="E278" s="16">
        <v>0.28324900812242215</v>
      </c>
      <c r="G278">
        <f>((D278-$D$2)^2+(E278-$E$2)^2)</f>
        <v>1.3348794543127068E-3</v>
      </c>
    </row>
    <row r="279" spans="3:7">
      <c r="C279" s="20">
        <v>14536.15507681091</v>
      </c>
      <c r="D279" s="16">
        <v>0.18596628199877063</v>
      </c>
      <c r="E279" s="16">
        <v>0.28302672271105406</v>
      </c>
      <c r="G279">
        <f>((D279-$D$2)^2+(E279-$E$2)^2)</f>
        <v>1.3522571090735856E-3</v>
      </c>
    </row>
    <row r="280" spans="3:7">
      <c r="C280" s="20">
        <v>14681.51662757902</v>
      </c>
      <c r="D280" s="16">
        <v>0.18588391787391728</v>
      </c>
      <c r="E280" s="16">
        <v>0.28280691191620655</v>
      </c>
      <c r="G280">
        <f>((D280-$D$2)^2+(E280-$E$2)^2)</f>
        <v>1.3695391561265567E-3</v>
      </c>
    </row>
    <row r="281" spans="3:7">
      <c r="C281" s="20">
        <v>14828.33179385481</v>
      </c>
      <c r="D281" s="16">
        <v>0.18580289204999928</v>
      </c>
      <c r="E281" s="16">
        <v>0.28258955375078926</v>
      </c>
      <c r="G281">
        <f>((D281-$D$2)^2+(E281-$E$2)^2)</f>
        <v>1.3867239137562188E-3</v>
      </c>
    </row>
    <row r="282" spans="3:7">
      <c r="C282" s="20">
        <v>14976.615111793359</v>
      </c>
      <c r="D282" s="16">
        <v>0.18572318006256391</v>
      </c>
      <c r="E282" s="16">
        <v>0.28237462617591919</v>
      </c>
      <c r="G282">
        <f>((D282-$D$2)^2+(E282-$E$2)^2)</f>
        <v>1.4038097908852403E-3</v>
      </c>
    </row>
    <row r="283" spans="3:7">
      <c r="C283" s="20">
        <v>15126.381262911293</v>
      </c>
      <c r="D283" s="16">
        <v>0.18564475791055274</v>
      </c>
      <c r="E283" s="16">
        <v>0.28216210711162554</v>
      </c>
      <c r="G283">
        <f>((D283-$D$2)^2+(E283-$E$2)^2)</f>
        <v>1.4207952845886886E-3</v>
      </c>
    </row>
    <row r="284" spans="3:7">
      <c r="C284" s="20">
        <v>15277.645075540406</v>
      </c>
      <c r="D284" s="16">
        <v>0.18556760204844081</v>
      </c>
      <c r="E284" s="16">
        <v>0.28195197444720821</v>
      </c>
      <c r="G284">
        <f>((D284-$D$2)^2+(E284-$E$2)^2)</f>
        <v>1.437678977646889E-3</v>
      </c>
    </row>
    <row r="285" spans="3:7">
      <c r="C285" s="20">
        <v>15430.42152629581</v>
      </c>
      <c r="D285" s="16">
        <v>0.18549168937845023</v>
      </c>
      <c r="E285" s="16">
        <v>0.28174420605124967</v>
      </c>
      <c r="G285">
        <f>((D285-$D$2)^2+(E285-$E$2)^2)</f>
        <v>1.4544595361374584E-3</v>
      </c>
    </row>
    <row r="286" spans="3:7">
      <c r="C286" s="20">
        <v>15584.725741558768</v>
      </c>
      <c r="D286" s="16">
        <v>0.18541699724283661</v>
      </c>
      <c r="E286" s="16">
        <v>0.28153877978128677</v>
      </c>
      <c r="G286">
        <f>((D286-$D$2)^2+(E286-$E$2)^2)</f>
        <v>1.4711357070669347E-3</v>
      </c>
    </row>
    <row r="287" spans="3:7">
      <c r="C287" s="20">
        <v>15740.572998974356</v>
      </c>
      <c r="D287" s="16">
        <v>0.18534350341625291</v>
      </c>
      <c r="E287" s="16">
        <v>0.2813356734931477</v>
      </c>
      <c r="G287">
        <f>((D287-$D$2)^2+(E287-$E$2)^2)</f>
        <v>1.4877063160422825E-3</v>
      </c>
    </row>
    <row r="288" spans="3:7">
      <c r="C288" s="20">
        <v>15897.978728964099</v>
      </c>
      <c r="D288" s="16">
        <v>0.18527118609818505</v>
      </c>
      <c r="E288" s="16">
        <v>0.28113486504996016</v>
      </c>
      <c r="G288">
        <f>((D288-$D$2)^2+(E288-$E$2)^2)</f>
        <v>1.5041702649827519E-3</v>
      </c>
    </row>
    <row r="289" spans="3:7">
      <c r="C289" s="20">
        <v>16056.958516253741</v>
      </c>
      <c r="D289" s="16">
        <v>0.18520002390548174</v>
      </c>
      <c r="E289" s="16">
        <v>0.28093633233083404</v>
      </c>
      <c r="G289">
        <f>((D289-$D$2)^2+(E289-$E$2)^2)</f>
        <v>1.5205265298718559E-3</v>
      </c>
    </row>
    <row r="290" spans="3:7">
      <c r="C290" s="20">
        <v>16217.528101416277</v>
      </c>
      <c r="D290" s="16">
        <v>0.18512999586494891</v>
      </c>
      <c r="E290" s="16">
        <v>0.28074005323922568</v>
      </c>
      <c r="G290">
        <f>((D290-$D$2)^2+(E290-$E$2)^2)</f>
        <v>1.536774158550525E-3</v>
      </c>
    </row>
    <row r="291" spans="3:7">
      <c r="C291" s="20">
        <v>16379.70338243044</v>
      </c>
      <c r="D291" s="16">
        <v>0.18506108140604474</v>
      </c>
      <c r="E291" s="16">
        <v>0.28054600571098942</v>
      </c>
      <c r="G291">
        <f>((D291-$D$2)^2+(E291-$E$2)^2)</f>
        <v>1.552912268550507E-3</v>
      </c>
    </row>
    <row r="292" spans="3:7">
      <c r="C292" s="20">
        <v>16543.500416254745</v>
      </c>
      <c r="D292" s="16">
        <v>0.18499326035364713</v>
      </c>
      <c r="E292" s="16">
        <v>0.28035416772212129</v>
      </c>
      <c r="G292">
        <f>((D292-$D$2)^2+(E292-$E$2)^2)</f>
        <v>1.5689400449690996E-3</v>
      </c>
    </row>
    <row r="293" spans="3:7">
      <c r="C293" s="20">
        <v>16708.935420417292</v>
      </c>
      <c r="D293" s="16">
        <v>0.18492651292091433</v>
      </c>
      <c r="E293" s="16">
        <v>0.28016451729620312</v>
      </c>
      <c r="G293">
        <f>((D293-$D$2)^2+(E293-$E$2)^2)</f>
        <v>1.5848567383844909E-3</v>
      </c>
    </row>
    <row r="294" spans="3:7">
      <c r="C294" s="20">
        <v>16876.024774621466</v>
      </c>
      <c r="D294" s="16">
        <v>0.18486081970223267</v>
      </c>
      <c r="E294" s="16">
        <v>0.27997703251154743</v>
      </c>
      <c r="G294">
        <f>((D294-$D$2)^2+(E294-$E$2)^2)</f>
        <v>1.6006616628123239E-3</v>
      </c>
    </row>
    <row r="295" spans="3:7">
      <c r="C295" s="20">
        <v>17044.78502236768</v>
      </c>
      <c r="D295" s="16">
        <v>0.18479616166625312</v>
      </c>
      <c r="E295" s="16">
        <v>0.27979169150805677</v>
      </c>
      <c r="G295">
        <f>((D295-$D$2)^2+(E295-$E$2)^2)</f>
        <v>1.6163541937028948E-3</v>
      </c>
    </row>
    <row r="296" spans="3:7">
      <c r="C296" s="20">
        <v>17215.232872591358</v>
      </c>
      <c r="D296" s="16">
        <v>0.18473252014901542</v>
      </c>
      <c r="E296" s="16">
        <v>0.27960847249379717</v>
      </c>
      <c r="G296">
        <f>((D296-$D$2)^2+(E296-$E$2)^2)</f>
        <v>1.6319337659794222E-3</v>
      </c>
    </row>
    <row r="297" spans="3:7">
      <c r="C297" s="20">
        <v>17387.385201317273</v>
      </c>
      <c r="D297" s="16">
        <v>0.18466987684716871</v>
      </c>
      <c r="E297" s="16">
        <v>0.27942735375129601</v>
      </c>
      <c r="G297">
        <f>((D297-$D$2)^2+(E297-$E$2)^2)</f>
        <v>1.647399872116703E-3</v>
      </c>
    </row>
    <row r="298" spans="3:7">
      <c r="C298" s="20">
        <v>17561.259053330446</v>
      </c>
      <c r="D298" s="16">
        <v>0.18460821381127732</v>
      </c>
      <c r="E298" s="16">
        <v>0.2792483136435655</v>
      </c>
      <c r="G298">
        <f>((D298-$D$2)^2+(E298-$E$2)^2)</f>
        <v>1.6627520602607666E-3</v>
      </c>
    </row>
    <row r="299" spans="3:7">
      <c r="C299" s="20">
        <v>17736.871643863749</v>
      </c>
      <c r="D299" s="16">
        <v>0.18454751343922018</v>
      </c>
      <c r="E299" s="16">
        <v>0.27907133061986805</v>
      </c>
      <c r="G299">
        <f>((D299-$D$2)^2+(E299-$E$2)^2)</f>
        <v>1.6779899323883104E-3</v>
      </c>
    </row>
    <row r="300" spans="3:7">
      <c r="C300" s="20">
        <v>17914.240360302389</v>
      </c>
      <c r="D300" s="16">
        <v>0.18448775846968857</v>
      </c>
      <c r="E300" s="16">
        <v>0.2788963832212123</v>
      </c>
      <c r="G300">
        <f>((D300-$D$2)^2+(E300-$E$2)^2)</f>
        <v>1.6931131425068626E-3</v>
      </c>
    </row>
    <row r="301" spans="3:7">
      <c r="C301" s="20">
        <v>18093.382763905414</v>
      </c>
      <c r="D301" s="16">
        <v>0.18442893197576837</v>
      </c>
      <c r="E301" s="16">
        <v>0.27872345008560723</v>
      </c>
      <c r="G301">
        <f>((D301-$D$2)^2+(E301-$E$2)^2)</f>
        <v>1.7081213948942867E-3</v>
      </c>
    </row>
    <row r="302" spans="3:7">
      <c r="C302" s="20">
        <v>18274.31659154447</v>
      </c>
      <c r="D302" s="16">
        <v>0.18437101735862135</v>
      </c>
      <c r="E302" s="16">
        <v>0.2785525099530623</v>
      </c>
      <c r="G302">
        <f>((D302-$D$2)^2+(E302-$E$2)^2)</f>
        <v>1.723014442378247E-3</v>
      </c>
    </row>
    <row r="303" spans="3:7">
      <c r="C303" s="20">
        <v>18457.059757459916</v>
      </c>
      <c r="D303" s="16">
        <v>0.18431399834125814</v>
      </c>
      <c r="E303" s="16">
        <v>0.27838354167035106</v>
      </c>
      <c r="G303">
        <f>((D303-$D$2)^2+(E303-$E$2)^2)</f>
        <v>1.7377920846547079E-3</v>
      </c>
    </row>
    <row r="304" spans="3:7">
      <c r="C304" s="20">
        <v>18641.630355034515</v>
      </c>
      <c r="D304" s="16">
        <v>0.18425785896240296</v>
      </c>
      <c r="E304" s="16">
        <v>0.27821652419553894</v>
      </c>
      <c r="G304">
        <f>((D304-$D$2)^2+(E304-$E$2)^2)</f>
        <v>1.7524541666455457E-3</v>
      </c>
    </row>
    <row r="305" spans="3:7">
      <c r="C305" s="20">
        <v>18828.046658584859</v>
      </c>
      <c r="D305" s="16">
        <v>0.18420258357045635</v>
      </c>
      <c r="E305" s="16">
        <v>0.27805143660228332</v>
      </c>
      <c r="G305">
        <f>((D305-$D$2)^2+(E305-$E$2)^2)</f>
        <v>1.767000576894542E-3</v>
      </c>
    </row>
    <row r="306" spans="3:7">
      <c r="C306" s="20">
        <v>19016.327125170708</v>
      </c>
      <c r="D306" s="16">
        <v>0.1841481568175474</v>
      </c>
      <c r="E306" s="16">
        <v>0.27788825808391138</v>
      </c>
      <c r="G306">
        <f>((D306-$D$2)^2+(E306-$E$2)^2)</f>
        <v>1.7814312460017038E-3</v>
      </c>
    </row>
    <row r="307" spans="3:7">
      <c r="C307" s="20">
        <v>19206.490396422414</v>
      </c>
      <c r="D307" s="16">
        <v>0.18409456365367902</v>
      </c>
      <c r="E307" s="16">
        <v>0.27772696795728258</v>
      </c>
      <c r="G307">
        <f>((D307-$D$2)^2+(E307-$E$2)^2)</f>
        <v>1.7957461450952995E-3</v>
      </c>
    </row>
    <row r="308" spans="3:7">
      <c r="C308" s="20">
        <v>19398.555300386637</v>
      </c>
      <c r="D308" s="16">
        <v>0.18404178932097001</v>
      </c>
      <c r="E308" s="16">
        <v>0.27756754566643976</v>
      </c>
      <c r="G308">
        <f>((D308-$D$2)^2+(E308-$E$2)^2)</f>
        <v>1.8099452843412087E-3</v>
      </c>
    </row>
    <row r="309" spans="3:7">
      <c r="C309" s="20">
        <v>19592.540853390503</v>
      </c>
      <c r="D309" s="16">
        <v>0.18398981934798661</v>
      </c>
      <c r="E309" s="16">
        <v>0.27740997078605789</v>
      </c>
      <c r="G309">
        <f>((D309-$D$2)^2+(E309-$E$2)^2)</f>
        <v>1.8240287114891355E-3</v>
      </c>
    </row>
    <row r="310" spans="3:7">
      <c r="C310" s="20">
        <v>19788.466261924408</v>
      </c>
      <c r="D310" s="16">
        <v>0.18393863954416684</v>
      </c>
      <c r="E310" s="16">
        <v>0.27725422302469171</v>
      </c>
      <c r="G310">
        <f>((D310-$D$2)^2+(E310-$E$2)^2)</f>
        <v>1.8379965104554391E-3</v>
      </c>
    </row>
    <row r="311" spans="3:7">
      <c r="C311" s="20">
        <v>19986.350924543651</v>
      </c>
      <c r="D311" s="16">
        <v>0.18388823599433879</v>
      </c>
      <c r="E311" s="16">
        <v>0.27710028222783439</v>
      </c>
      <c r="G311">
        <f>((D311-$D$2)^2+(E311-$E$2)^2)</f>
        <v>1.8518487999415762E-3</v>
      </c>
    </row>
    <row r="312" spans="3:7">
      <c r="C312" s="20">
        <v>20186.214433789086</v>
      </c>
      <c r="D312" s="16">
        <v>0.18383859505332703</v>
      </c>
      <c r="E312" s="16">
        <v>0.27694812838078564</v>
      </c>
      <c r="G312">
        <f>((D312-$D$2)^2+(E312-$E$2)^2)</f>
        <v>1.8655857320883915E-3</v>
      </c>
    </row>
    <row r="313" spans="3:7">
      <c r="G313" t="b">
        <f>GOTO(A9)</f>
        <v>1</v>
      </c>
    </row>
  </sheetData>
  <phoneticPr fontId="0"/>
  <pageMargins left="0.75" right="0.75" top="1" bottom="1" header="0.5" footer="0.5"/>
  <headerFooter alignWithMargins="0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1"/>
  <sheetViews>
    <sheetView tabSelected="1" workbookViewId="0">
      <selection activeCell="M5" sqref="M5"/>
    </sheetView>
  </sheetViews>
  <sheetFormatPr defaultColWidth="11.375" defaultRowHeight="13.2"/>
  <cols>
    <col min="1" max="1" width="12.375" customWidth="1"/>
    <col min="2" max="2" width="13.875" style="159" customWidth="1"/>
    <col min="3" max="4" width="8.375" style="1" customWidth="1"/>
    <col min="5" max="5" width="8.25" style="1" customWidth="1"/>
    <col min="6" max="6" width="3" style="12" customWidth="1"/>
    <col min="7" max="7" width="9.25" style="12" customWidth="1"/>
    <col min="8" max="9" width="10.75" customWidth="1"/>
    <col min="10" max="10" width="3" style="34" customWidth="1"/>
    <col min="11" max="11" width="3.875" style="62" customWidth="1"/>
    <col min="12" max="12" width="9.125" style="12" customWidth="1"/>
    <col min="13" max="13" width="14" style="120" customWidth="1"/>
    <col min="14" max="14" width="5.375" customWidth="1"/>
    <col min="15" max="15" width="7" style="114" customWidth="1"/>
    <col min="16" max="18" width="7.375" customWidth="1"/>
    <col min="19" max="19" width="8" customWidth="1"/>
    <col min="20" max="20" width="8.375" customWidth="1"/>
    <col min="21" max="22" width="10.875" style="34" customWidth="1"/>
  </cols>
  <sheetData>
    <row r="1" spans="1:22" ht="13.8" thickBot="1">
      <c r="B1" s="173" t="s">
        <v>192</v>
      </c>
      <c r="G1" s="175" t="s">
        <v>122</v>
      </c>
      <c r="H1" s="33">
        <f>G17</f>
        <v>5952.1491044527911</v>
      </c>
      <c r="I1" s="165"/>
      <c r="J1" s="117"/>
      <c r="K1" s="128"/>
      <c r="L1" s="37"/>
      <c r="O1" s="114" t="s">
        <v>81</v>
      </c>
    </row>
    <row r="2" spans="1:22">
      <c r="B2" s="174" t="s">
        <v>191</v>
      </c>
      <c r="H2" s="26">
        <v>3.7414999999999998E-16</v>
      </c>
      <c r="I2" s="26"/>
      <c r="M2" s="124" t="s">
        <v>153</v>
      </c>
    </row>
    <row r="3" spans="1:22">
      <c r="D3" s="2"/>
      <c r="H3" s="26">
        <v>1.4388E-2</v>
      </c>
      <c r="I3" s="168" t="s">
        <v>184</v>
      </c>
      <c r="J3" s="40"/>
      <c r="K3" s="129"/>
      <c r="L3" s="30"/>
      <c r="M3" s="124" t="s">
        <v>116</v>
      </c>
      <c r="S3" s="115" t="s">
        <v>86</v>
      </c>
      <c r="T3" s="116">
        <f>H1</f>
        <v>5952.1491044527911</v>
      </c>
      <c r="U3" s="34" t="s">
        <v>95</v>
      </c>
      <c r="V3" s="167" t="s">
        <v>185</v>
      </c>
    </row>
    <row r="4" spans="1:22" ht="12">
      <c r="A4" t="s">
        <v>104</v>
      </c>
      <c r="B4" s="159" t="s">
        <v>193</v>
      </c>
      <c r="C4" s="160" t="s">
        <v>105</v>
      </c>
      <c r="D4" s="160" t="s">
        <v>106</v>
      </c>
      <c r="E4" s="160" t="s">
        <v>107</v>
      </c>
      <c r="H4" s="31" t="s">
        <v>151</v>
      </c>
      <c r="I4" s="166" t="s">
        <v>182</v>
      </c>
      <c r="J4" s="74"/>
      <c r="L4" s="8"/>
      <c r="M4" s="124" t="s">
        <v>59</v>
      </c>
      <c r="O4" s="114" t="s">
        <v>94</v>
      </c>
      <c r="P4" t="s">
        <v>82</v>
      </c>
      <c r="Q4" t="s">
        <v>83</v>
      </c>
      <c r="R4" t="s">
        <v>84</v>
      </c>
      <c r="U4" s="34" t="s">
        <v>93</v>
      </c>
      <c r="V4" s="167" t="s">
        <v>183</v>
      </c>
    </row>
    <row r="5" spans="1:22">
      <c r="A5">
        <v>360</v>
      </c>
      <c r="B5" s="159">
        <v>0</v>
      </c>
      <c r="F5" s="36"/>
      <c r="G5" s="118" t="s">
        <v>118</v>
      </c>
      <c r="H5">
        <f>$H$2/((A5*0.000000001)^5)/(EXP($H$3/(A5*0.000000001*$H$1))-1)</f>
        <v>75148429505845.531</v>
      </c>
      <c r="I5" s="17">
        <f>100*H5/$H$45</f>
        <v>81.778863272916084</v>
      </c>
      <c r="J5" s="118"/>
      <c r="K5" s="130"/>
      <c r="L5" s="121" t="s">
        <v>38</v>
      </c>
      <c r="M5" s="172">
        <f>IF($H$1&lt;5000,H5,U5)</f>
        <v>37.596188958426836</v>
      </c>
      <c r="N5" s="122" t="s">
        <v>62</v>
      </c>
      <c r="O5" s="114">
        <v>360</v>
      </c>
      <c r="P5" s="17">
        <v>61.5</v>
      </c>
      <c r="Q5" s="17">
        <v>38</v>
      </c>
      <c r="R5" s="17">
        <v>5.3</v>
      </c>
      <c r="S5" t="s">
        <v>87</v>
      </c>
      <c r="U5" s="91">
        <f>P5+Q5*T$15+R5*T$16</f>
        <v>37.596188958426836</v>
      </c>
      <c r="V5" s="91">
        <f>100*U5/$U$45</f>
        <v>37.596188958426836</v>
      </c>
    </row>
    <row r="6" spans="1:22">
      <c r="A6">
        <v>365</v>
      </c>
      <c r="B6" s="159">
        <v>0</v>
      </c>
      <c r="F6" s="36"/>
      <c r="G6" s="118" t="s">
        <v>121</v>
      </c>
      <c r="H6">
        <f t="shared" ref="H6:H68" si="0">$H$2/((A6*0.000000001)^5)/(EXP($H$3/(A6*0.000000001*$H$1))-1)</f>
        <v>76907029764490.547</v>
      </c>
      <c r="I6" s="17">
        <f t="shared" ref="I6:I69" si="1">100*H6/$H$45</f>
        <v>83.69262688779321</v>
      </c>
      <c r="J6" s="118"/>
      <c r="K6" s="130"/>
      <c r="L6" s="39"/>
      <c r="M6" s="172">
        <f t="shared" ref="M6:M69" si="2">IF($H$1&lt;5000,H6,U6)</f>
        <v>39.81610052468433</v>
      </c>
      <c r="O6" s="114">
        <v>365</v>
      </c>
      <c r="P6" s="17">
        <v>65.150000000000006</v>
      </c>
      <c r="Q6" s="17">
        <v>40.200000000000003</v>
      </c>
      <c r="R6" s="17">
        <v>5.7</v>
      </c>
      <c r="S6" s="18" t="s">
        <v>85</v>
      </c>
      <c r="T6" s="28">
        <f>-4.607*10^9/T3^3+2.9678*10^6/T3^2+0.09911*10^3/T3+0.244063</f>
        <v>0.32263658997272437</v>
      </c>
      <c r="U6" s="91">
        <f t="shared" ref="U6:U69" si="3">P6+Q6*T$15+R6*T$16</f>
        <v>39.81610052468433</v>
      </c>
      <c r="V6" s="91">
        <f t="shared" ref="V6:V69" si="4">100*U6/$U$45</f>
        <v>39.81610052468433</v>
      </c>
    </row>
    <row r="7" spans="1:22" ht="11.4">
      <c r="A7">
        <v>370</v>
      </c>
      <c r="B7" s="159">
        <v>0</v>
      </c>
      <c r="C7" s="3"/>
      <c r="D7" s="3"/>
      <c r="E7" s="3"/>
      <c r="F7" s="36"/>
      <c r="G7" s="34">
        <f>MAX(B5:B99)</f>
        <v>1</v>
      </c>
      <c r="H7">
        <f t="shared" si="0"/>
        <v>78585670930252.969</v>
      </c>
      <c r="I7" s="17">
        <f t="shared" si="1"/>
        <v>85.519376525568347</v>
      </c>
      <c r="J7" s="118"/>
      <c r="K7" s="130"/>
      <c r="L7" s="39"/>
      <c r="M7" s="172">
        <f t="shared" si="2"/>
        <v>42.03601209094181</v>
      </c>
      <c r="O7" s="114">
        <v>370</v>
      </c>
      <c r="P7" s="17">
        <v>68.8</v>
      </c>
      <c r="Q7" s="17">
        <v>42.4</v>
      </c>
      <c r="R7" s="17">
        <v>6.1</v>
      </c>
      <c r="S7" s="18"/>
      <c r="T7" s="28"/>
      <c r="U7" s="91">
        <f t="shared" si="3"/>
        <v>42.03601209094181</v>
      </c>
      <c r="V7" s="91">
        <f t="shared" si="4"/>
        <v>42.03601209094181</v>
      </c>
    </row>
    <row r="8" spans="1:22" ht="11.4">
      <c r="A8">
        <v>375</v>
      </c>
      <c r="B8" s="159">
        <v>0</v>
      </c>
      <c r="C8" s="3"/>
      <c r="D8" s="3"/>
      <c r="E8" s="3"/>
      <c r="F8" s="36"/>
      <c r="G8" s="36"/>
      <c r="H8">
        <f t="shared" si="0"/>
        <v>80183356791569.922</v>
      </c>
      <c r="I8" s="17">
        <f t="shared" si="1"/>
        <v>87.258028077768074</v>
      </c>
      <c r="J8" s="118"/>
      <c r="K8" s="130"/>
      <c r="L8" s="39"/>
      <c r="M8" s="172">
        <f t="shared" si="2"/>
        <v>41.196244222401624</v>
      </c>
      <c r="O8" s="114">
        <v>375</v>
      </c>
      <c r="P8" s="17">
        <v>66.099999999999994</v>
      </c>
      <c r="Q8" s="17">
        <v>40.450000000000003</v>
      </c>
      <c r="R8" s="17">
        <v>4.55</v>
      </c>
      <c r="S8" t="s">
        <v>88</v>
      </c>
      <c r="T8" s="28"/>
      <c r="U8" s="91">
        <f t="shared" si="3"/>
        <v>41.196244222401624</v>
      </c>
      <c r="V8" s="91">
        <f t="shared" si="4"/>
        <v>41.196244222401631</v>
      </c>
    </row>
    <row r="9" spans="1:22" ht="12">
      <c r="A9">
        <v>380</v>
      </c>
      <c r="B9" s="159">
        <v>0</v>
      </c>
      <c r="C9" s="4">
        <v>1.3680000000000001E-3</v>
      </c>
      <c r="D9" s="4">
        <v>4.0000000000000003E-5</v>
      </c>
      <c r="E9" s="3">
        <v>6.4499999999999996E-4</v>
      </c>
      <c r="F9" s="58"/>
      <c r="G9" s="161" t="s">
        <v>118</v>
      </c>
      <c r="H9">
        <f t="shared" si="0"/>
        <v>81699452701805.578</v>
      </c>
      <c r="I9" s="17">
        <f t="shared" si="1"/>
        <v>88.907890902142128</v>
      </c>
      <c r="J9" s="118"/>
      <c r="K9" s="65"/>
      <c r="L9" s="162" t="s">
        <v>116</v>
      </c>
      <c r="M9" s="172">
        <f t="shared" si="2"/>
        <v>40.356476353861453</v>
      </c>
      <c r="O9" s="114">
        <v>380</v>
      </c>
      <c r="P9" s="17">
        <v>63.4</v>
      </c>
      <c r="Q9" s="17">
        <v>38.5</v>
      </c>
      <c r="R9" s="17">
        <v>3</v>
      </c>
      <c r="S9" s="18" t="s">
        <v>85</v>
      </c>
      <c r="T9" s="28">
        <f>-2.0064*10^9/T3^3+1.9018*10^6/T3^2+0.24748*10^3/T3+0.23704</f>
        <v>0.32278412216695396</v>
      </c>
      <c r="U9" s="91">
        <f t="shared" si="3"/>
        <v>40.356476353861453</v>
      </c>
      <c r="V9" s="91">
        <f t="shared" si="4"/>
        <v>40.356476353861453</v>
      </c>
    </row>
    <row r="10" spans="1:22" ht="11.4">
      <c r="A10">
        <v>385</v>
      </c>
      <c r="B10" s="159">
        <v>0</v>
      </c>
      <c r="C10" s="4">
        <v>2.2360000000000001E-3</v>
      </c>
      <c r="D10" s="4">
        <v>6.0000000000000002E-5</v>
      </c>
      <c r="E10" s="3">
        <v>1.055E-2</v>
      </c>
      <c r="F10" s="60" t="s">
        <v>108</v>
      </c>
      <c r="G10" s="61">
        <f>100*SUMPRODUCT(B9:B89,C9:C89)/SUMPRODUCT(B9:B89,D9:D89)</f>
        <v>98.312420213594052</v>
      </c>
      <c r="H10">
        <f t="shared" si="0"/>
        <v>83133658615159.344</v>
      </c>
      <c r="I10" s="17">
        <f t="shared" si="1"/>
        <v>90.468638479498239</v>
      </c>
      <c r="J10" s="118"/>
      <c r="K10" s="66" t="s">
        <v>108</v>
      </c>
      <c r="L10" s="50">
        <f>100*SUMPRODUCT(M5:M99,C5:C99)/SUMPRODUCT(M5:M99,D5:D99)</f>
        <v>95.29094323764167</v>
      </c>
      <c r="M10" s="172">
        <f t="shared" si="2"/>
        <v>42.982486545335611</v>
      </c>
      <c r="O10" s="114">
        <v>385</v>
      </c>
      <c r="P10" s="17">
        <v>64.599999999999994</v>
      </c>
      <c r="Q10" s="17">
        <v>36.75</v>
      </c>
      <c r="R10" s="17">
        <v>2.1</v>
      </c>
      <c r="U10" s="91">
        <f t="shared" si="3"/>
        <v>42.982486545335611</v>
      </c>
      <c r="V10" s="91">
        <f t="shared" si="4"/>
        <v>42.982486545335611</v>
      </c>
    </row>
    <row r="11" spans="1:22" ht="11.4">
      <c r="A11">
        <v>390</v>
      </c>
      <c r="B11" s="159">
        <v>0</v>
      </c>
      <c r="C11" s="4">
        <v>4.2430000000000002E-3</v>
      </c>
      <c r="D11" s="4">
        <v>1.2E-4</v>
      </c>
      <c r="E11" s="3">
        <v>2.0049999999999998E-2</v>
      </c>
      <c r="F11" s="60" t="s">
        <v>109</v>
      </c>
      <c r="G11" s="61">
        <f>100*SUMPRODUCT(B9:B89,D9:D89)/SUMPRODUCT(B9:B89,D9:D89)</f>
        <v>100</v>
      </c>
      <c r="H11">
        <f t="shared" si="0"/>
        <v>84485982489214.766</v>
      </c>
      <c r="I11" s="17">
        <f t="shared" si="1"/>
        <v>91.940279469526871</v>
      </c>
      <c r="J11" s="118"/>
      <c r="K11" s="66" t="s">
        <v>109</v>
      </c>
      <c r="L11" s="50">
        <f>100*SUMPRODUCT(M5:M99,D5:D99)/SUMPRODUCT(M5:M99,D5:D99)</f>
        <v>100</v>
      </c>
      <c r="M11" s="172">
        <f t="shared" si="2"/>
        <v>45.608496736809762</v>
      </c>
      <c r="O11" s="114">
        <v>390</v>
      </c>
      <c r="P11" s="17">
        <v>65.8</v>
      </c>
      <c r="Q11" s="17">
        <v>35</v>
      </c>
      <c r="R11" s="17">
        <v>1.2</v>
      </c>
      <c r="S11" t="s">
        <v>90</v>
      </c>
      <c r="U11" s="91">
        <f t="shared" si="3"/>
        <v>45.608496736809762</v>
      </c>
      <c r="V11" s="91">
        <f t="shared" si="4"/>
        <v>45.608496736809769</v>
      </c>
    </row>
    <row r="12" spans="1:22" ht="11.4">
      <c r="A12">
        <v>395</v>
      </c>
      <c r="B12" s="159">
        <v>0</v>
      </c>
      <c r="C12" s="4">
        <v>7.6499999999999997E-3</v>
      </c>
      <c r="D12" s="4">
        <v>2.1699999999999999E-4</v>
      </c>
      <c r="E12" s="3">
        <v>3.6209999999999999E-2</v>
      </c>
      <c r="F12" s="60" t="s">
        <v>110</v>
      </c>
      <c r="G12" s="61">
        <f>100*SUMPRODUCT(B9:B89,E9:E89)/SUMPRODUCT(B9:B89,D9:D89)</f>
        <v>105.85297505993711</v>
      </c>
      <c r="H12">
        <f t="shared" si="0"/>
        <v>85756714269295.859</v>
      </c>
      <c r="I12" s="17">
        <f t="shared" si="1"/>
        <v>93.323129399766827</v>
      </c>
      <c r="J12" s="118"/>
      <c r="K12" s="66" t="s">
        <v>110</v>
      </c>
      <c r="L12" s="50">
        <f>100*SUMPRODUCT(M5:M99,E5:E99)/SUMPRODUCT(M5:M99,D5:D99)</f>
        <v>100.05850559191393</v>
      </c>
      <c r="M12" s="172">
        <f t="shared" si="2"/>
        <v>58.327024591225928</v>
      </c>
      <c r="O12" s="114">
        <v>395</v>
      </c>
      <c r="P12" s="17">
        <v>80.3</v>
      </c>
      <c r="Q12" s="17">
        <v>39.200000000000003</v>
      </c>
      <c r="R12" s="17">
        <v>0.05</v>
      </c>
      <c r="S12" s="18" t="s">
        <v>85</v>
      </c>
      <c r="T12">
        <f>IF(T3&lt;7000,T6,T9)</f>
        <v>0.32263658997272437</v>
      </c>
      <c r="U12" s="91">
        <f t="shared" si="3"/>
        <v>58.327024591225928</v>
      </c>
      <c r="V12" s="91">
        <f t="shared" si="4"/>
        <v>58.327024591225928</v>
      </c>
    </row>
    <row r="13" spans="1:22" ht="11.4">
      <c r="A13">
        <v>400</v>
      </c>
      <c r="B13" s="159">
        <v>0</v>
      </c>
      <c r="C13" s="4">
        <v>1.431E-2</v>
      </c>
      <c r="D13" s="4">
        <v>4.0000000000000002E-4</v>
      </c>
      <c r="E13" s="3">
        <v>6.7849999999999994E-2</v>
      </c>
      <c r="F13" s="60" t="s">
        <v>111</v>
      </c>
      <c r="G13" s="61">
        <f>G10/(G10+G11+G12)</f>
        <v>0.32322026680643018</v>
      </c>
      <c r="H13">
        <f t="shared" si="0"/>
        <v>86946400629668.953</v>
      </c>
      <c r="I13" s="17">
        <f t="shared" si="1"/>
        <v>94.617783178193903</v>
      </c>
      <c r="J13" s="118"/>
      <c r="K13" s="66" t="s">
        <v>111</v>
      </c>
      <c r="L13" s="50">
        <f>L10/(L10+L11+L12)</f>
        <v>0.32263795857846173</v>
      </c>
      <c r="M13" s="172">
        <f t="shared" si="2"/>
        <v>71.045552445642087</v>
      </c>
      <c r="O13" s="114">
        <v>400</v>
      </c>
      <c r="P13" s="17">
        <v>94.8</v>
      </c>
      <c r="Q13" s="17">
        <v>43.4</v>
      </c>
      <c r="R13" s="17">
        <v>-1.1000000000000001</v>
      </c>
      <c r="S13" s="18" t="s">
        <v>89</v>
      </c>
      <c r="T13" s="28">
        <f>-3*T12^2+2.87*T12-0.275</f>
        <v>0.33868390565403539</v>
      </c>
      <c r="U13" s="91">
        <f t="shared" si="3"/>
        <v>71.045552445642087</v>
      </c>
      <c r="V13" s="91">
        <f t="shared" si="4"/>
        <v>71.045552445642087</v>
      </c>
    </row>
    <row r="14" spans="1:22" ht="11.4">
      <c r="A14">
        <v>405</v>
      </c>
      <c r="B14" s="159">
        <v>0</v>
      </c>
      <c r="C14" s="4">
        <v>2.3189999999999999E-2</v>
      </c>
      <c r="D14" s="4">
        <v>6.4000000000000005E-4</v>
      </c>
      <c r="E14" s="3">
        <v>0.11020000000000001</v>
      </c>
      <c r="F14" s="60" t="s">
        <v>112</v>
      </c>
      <c r="G14" s="61">
        <f>G11/(G10+G11+G12)</f>
        <v>0.32876849751455639</v>
      </c>
      <c r="H14">
        <f t="shared" si="0"/>
        <v>88055820610857.172</v>
      </c>
      <c r="I14" s="17">
        <f t="shared" si="1"/>
        <v>95.825088580987128</v>
      </c>
      <c r="J14" s="118"/>
      <c r="K14" s="66" t="s">
        <v>112</v>
      </c>
      <c r="L14" s="50">
        <f>L11/(L10+L11+L12)</f>
        <v>0.33858197601617801</v>
      </c>
      <c r="M14" s="172">
        <f t="shared" si="2"/>
        <v>75.084966669363098</v>
      </c>
      <c r="O14" s="114">
        <v>405</v>
      </c>
      <c r="P14" s="17">
        <v>99.8</v>
      </c>
      <c r="Q14" s="17">
        <v>44.85</v>
      </c>
      <c r="R14" s="17">
        <v>-0.8</v>
      </c>
      <c r="U14" s="91">
        <f t="shared" si="3"/>
        <v>75.084966669363098</v>
      </c>
      <c r="V14" s="91">
        <f t="shared" si="4"/>
        <v>75.084966669363098</v>
      </c>
    </row>
    <row r="15" spans="1:22" ht="11.4">
      <c r="A15">
        <v>410</v>
      </c>
      <c r="B15" s="159">
        <v>0</v>
      </c>
      <c r="C15" s="4">
        <v>4.351E-2</v>
      </c>
      <c r="D15" s="4">
        <v>1.2099999999999999E-3</v>
      </c>
      <c r="E15" s="3">
        <v>0.2074</v>
      </c>
      <c r="F15" s="123" t="s">
        <v>130</v>
      </c>
      <c r="G15" s="61">
        <f>4*G10/(G10+15*G11+3*G12)</f>
        <v>0.20525891876817345</v>
      </c>
      <c r="H15">
        <f t="shared" si="0"/>
        <v>89085962260733.969</v>
      </c>
      <c r="I15" s="17">
        <f t="shared" si="1"/>
        <v>96.946120832638613</v>
      </c>
      <c r="J15" s="118"/>
      <c r="K15" s="62" t="s">
        <v>130</v>
      </c>
      <c r="L15" s="50">
        <f>4*L10/(L10+15*L11+3*L12)</f>
        <v>0.20109233320217937</v>
      </c>
      <c r="M15" s="172">
        <f t="shared" si="2"/>
        <v>79.124380893084123</v>
      </c>
      <c r="O15" s="114">
        <v>410</v>
      </c>
      <c r="P15" s="17">
        <v>104.8</v>
      </c>
      <c r="Q15" s="17">
        <v>46.3</v>
      </c>
      <c r="R15" s="17">
        <v>-0.5</v>
      </c>
      <c r="S15" s="18" t="s">
        <v>91</v>
      </c>
      <c r="T15">
        <f>(-1.3515-1.7703*T12+5.9114*T13)/(0.0241+0.2562*T12-0.7341*T13)</f>
        <v>-0.55990274513953131</v>
      </c>
      <c r="U15" s="91">
        <f t="shared" si="3"/>
        <v>79.124380893084123</v>
      </c>
      <c r="V15" s="91">
        <f t="shared" si="4"/>
        <v>79.124380893084123</v>
      </c>
    </row>
    <row r="16" spans="1:22" ht="11.4">
      <c r="A16">
        <v>415</v>
      </c>
      <c r="B16" s="159">
        <v>0</v>
      </c>
      <c r="C16" s="4">
        <v>7.7630000000000005E-2</v>
      </c>
      <c r="D16" s="4">
        <v>2.1800000000000001E-3</v>
      </c>
      <c r="E16" s="3">
        <v>0.37130000000000002</v>
      </c>
      <c r="F16" s="123" t="s">
        <v>131</v>
      </c>
      <c r="G16" s="61">
        <f>6*G11/(G10+15*G11+3*G12)</f>
        <v>0.31317342964738365</v>
      </c>
      <c r="H16">
        <f t="shared" si="0"/>
        <v>90038000359350.703</v>
      </c>
      <c r="I16" s="17">
        <f t="shared" si="1"/>
        <v>97.982158365416709</v>
      </c>
      <c r="J16" s="118"/>
      <c r="K16" s="62" t="s">
        <v>131</v>
      </c>
      <c r="L16" s="50">
        <f>6*L11/(L10+15*L11+3*L12)</f>
        <v>0.3165447728343152</v>
      </c>
      <c r="M16" s="172">
        <f t="shared" si="2"/>
        <v>80.39583978586046</v>
      </c>
      <c r="O16" s="114">
        <v>415</v>
      </c>
      <c r="P16" s="17">
        <v>105.35</v>
      </c>
      <c r="Q16" s="17">
        <v>45.1</v>
      </c>
      <c r="R16" s="17">
        <v>-0.6</v>
      </c>
      <c r="S16" s="18" t="s">
        <v>92</v>
      </c>
      <c r="T16">
        <f>(0.03-31.4424*T12+30.0717*T13)/(0.0241+0.2562*T12-0.7341*T13)</f>
        <v>-0.49575598608886262</v>
      </c>
      <c r="U16" s="91">
        <f t="shared" si="3"/>
        <v>80.39583978586046</v>
      </c>
      <c r="V16" s="91">
        <f t="shared" si="4"/>
        <v>80.39583978586046</v>
      </c>
    </row>
    <row r="17" spans="1:22" ht="12">
      <c r="A17">
        <v>420</v>
      </c>
      <c r="B17" s="159">
        <v>0</v>
      </c>
      <c r="C17" s="4">
        <v>0.13438</v>
      </c>
      <c r="D17" s="4">
        <v>4.0000000000000001E-3</v>
      </c>
      <c r="E17" s="3">
        <v>0.64559999999999995</v>
      </c>
      <c r="F17" s="60" t="s">
        <v>30</v>
      </c>
      <c r="G17" s="164">
        <f t="array" ref="G17:G18">CCT(G13:G14)</f>
        <v>5952.1491044527911</v>
      </c>
      <c r="H17">
        <f t="shared" si="0"/>
        <v>90913275283369.078</v>
      </c>
      <c r="I17" s="17">
        <f t="shared" si="1"/>
        <v>98.934659818982595</v>
      </c>
      <c r="J17" s="118"/>
      <c r="K17" s="66" t="s">
        <v>30</v>
      </c>
      <c r="L17" s="163">
        <f t="array" ref="L17:L18">CCT(L13:L14)</f>
        <v>5952.1168780750832</v>
      </c>
      <c r="M17" s="172">
        <f t="shared" si="2"/>
        <v>81.667298678636783</v>
      </c>
      <c r="O17" s="114">
        <v>420</v>
      </c>
      <c r="P17" s="17">
        <v>105.9</v>
      </c>
      <c r="Q17" s="17">
        <v>43.9</v>
      </c>
      <c r="R17" s="17">
        <v>-0.7</v>
      </c>
      <c r="U17" s="91">
        <f t="shared" si="3"/>
        <v>81.667298678636783</v>
      </c>
      <c r="V17" s="91">
        <f t="shared" si="4"/>
        <v>81.667298678636783</v>
      </c>
    </row>
    <row r="18" spans="1:22" ht="11.4">
      <c r="A18">
        <v>425</v>
      </c>
      <c r="B18" s="159">
        <v>0</v>
      </c>
      <c r="C18" s="4">
        <v>0.21476999999999999</v>
      </c>
      <c r="D18" s="4">
        <v>7.3000000000000001E-3</v>
      </c>
      <c r="E18" s="3">
        <v>1.03905</v>
      </c>
      <c r="F18" s="63" t="s">
        <v>31</v>
      </c>
      <c r="G18" s="64">
        <v>2.1110342799350941E-3</v>
      </c>
      <c r="H18">
        <f t="shared" si="0"/>
        <v>91713273045211.641</v>
      </c>
      <c r="I18" s="17">
        <f t="shared" si="1"/>
        <v>99.805242318371654</v>
      </c>
      <c r="J18" s="118"/>
      <c r="K18" s="67" t="s">
        <v>31</v>
      </c>
      <c r="L18" s="52">
        <v>3.248666276093032E-3</v>
      </c>
      <c r="M18" s="172">
        <f t="shared" si="2"/>
        <v>79.144907008633396</v>
      </c>
      <c r="O18" s="114">
        <v>425</v>
      </c>
      <c r="P18" s="17">
        <v>101.35</v>
      </c>
      <c r="Q18" s="17">
        <v>40.5</v>
      </c>
      <c r="R18" s="17">
        <v>-0.95</v>
      </c>
      <c r="U18" s="91">
        <f t="shared" si="3"/>
        <v>79.144907008633396</v>
      </c>
      <c r="V18" s="91">
        <f t="shared" si="4"/>
        <v>79.144907008633396</v>
      </c>
    </row>
    <row r="19" spans="1:22" ht="11.4">
      <c r="A19">
        <v>430</v>
      </c>
      <c r="B19" s="159">
        <v>0</v>
      </c>
      <c r="C19" s="4">
        <v>0.28389999999999999</v>
      </c>
      <c r="D19" s="4">
        <v>1.1599999999999999E-2</v>
      </c>
      <c r="E19" s="3">
        <v>1.3855999999999999</v>
      </c>
      <c r="F19" s="13"/>
      <c r="G19" s="13"/>
      <c r="H19">
        <f t="shared" si="0"/>
        <v>92439606524320.766</v>
      </c>
      <c r="I19" s="17">
        <f t="shared" si="1"/>
        <v>100.59566104926456</v>
      </c>
      <c r="J19" s="118"/>
      <c r="K19" s="66"/>
      <c r="L19" s="13"/>
      <c r="M19" s="172">
        <f t="shared" si="2"/>
        <v>76.622515338630009</v>
      </c>
      <c r="O19" s="114">
        <v>430</v>
      </c>
      <c r="P19" s="17">
        <v>96.8</v>
      </c>
      <c r="Q19" s="17">
        <v>37.1</v>
      </c>
      <c r="R19" s="17">
        <v>-1.2</v>
      </c>
      <c r="U19" s="91">
        <f t="shared" si="3"/>
        <v>76.622515338630009</v>
      </c>
      <c r="V19" s="91">
        <f t="shared" si="4"/>
        <v>76.622515338630009</v>
      </c>
    </row>
    <row r="20" spans="1:22" ht="12">
      <c r="A20">
        <v>435</v>
      </c>
      <c r="B20" s="159">
        <v>0</v>
      </c>
      <c r="C20" s="4">
        <v>0.32850000000000001</v>
      </c>
      <c r="D20" s="4">
        <v>1.6840000000000001E-2</v>
      </c>
      <c r="E20" s="3">
        <v>1.62296</v>
      </c>
      <c r="F20" s="13"/>
      <c r="G20" s="13"/>
      <c r="H20">
        <f t="shared" si="0"/>
        <v>93093997892937.125</v>
      </c>
      <c r="I20" s="17">
        <f t="shared" si="1"/>
        <v>101.30779013317165</v>
      </c>
      <c r="J20" s="118"/>
      <c r="K20" s="131" t="s">
        <v>152</v>
      </c>
      <c r="L20" s="119">
        <f>SQRT((G15-L15)^2+(G16-L16)^2)</f>
        <v>5.3597005665260867E-3</v>
      </c>
      <c r="M20" s="172">
        <f t="shared" si="2"/>
        <v>85.631525077920131</v>
      </c>
      <c r="O20" s="114">
        <v>435</v>
      </c>
      <c r="P20" s="17">
        <v>105.35</v>
      </c>
      <c r="Q20" s="17">
        <v>36.9</v>
      </c>
      <c r="R20" s="17">
        <v>-1.9</v>
      </c>
      <c r="U20" s="91">
        <f t="shared" si="3"/>
        <v>85.631525077920131</v>
      </c>
      <c r="V20" s="91">
        <f t="shared" si="4"/>
        <v>85.631525077920116</v>
      </c>
    </row>
    <row r="21" spans="1:22" ht="11.4">
      <c r="A21">
        <v>440</v>
      </c>
      <c r="B21" s="159">
        <v>0</v>
      </c>
      <c r="C21" s="4">
        <v>0.34827999999999998</v>
      </c>
      <c r="D21" s="4">
        <v>2.3E-2</v>
      </c>
      <c r="E21" s="3">
        <v>1.7470600000000001</v>
      </c>
      <c r="H21">
        <f t="shared" si="0"/>
        <v>93678262226291.391</v>
      </c>
      <c r="I21" s="17">
        <f t="shared" si="1"/>
        <v>101.94360479153259</v>
      </c>
      <c r="J21" s="118"/>
      <c r="K21" s="130"/>
      <c r="L21" s="39"/>
      <c r="M21" s="172">
        <f t="shared" si="2"/>
        <v>94.640534817210252</v>
      </c>
      <c r="O21" s="114">
        <v>440</v>
      </c>
      <c r="P21" s="17">
        <v>113.9</v>
      </c>
      <c r="Q21" s="17">
        <v>36.700000000000003</v>
      </c>
      <c r="R21" s="17">
        <v>-2.6</v>
      </c>
      <c r="U21" s="91">
        <f t="shared" si="3"/>
        <v>94.640534817210252</v>
      </c>
      <c r="V21" s="91">
        <f t="shared" si="4"/>
        <v>94.640534817210252</v>
      </c>
    </row>
    <row r="22" spans="1:22" ht="11.4">
      <c r="A22">
        <v>445</v>
      </c>
      <c r="B22" s="159">
        <v>0</v>
      </c>
      <c r="C22" s="4">
        <v>0.34805999999999998</v>
      </c>
      <c r="D22" s="4">
        <v>2.98E-2</v>
      </c>
      <c r="E22" s="3">
        <v>1.7826</v>
      </c>
      <c r="H22">
        <f t="shared" si="0"/>
        <v>94194292276777.734</v>
      </c>
      <c r="I22" s="17">
        <f t="shared" si="1"/>
        <v>102.50516477649749</v>
      </c>
      <c r="J22" s="118"/>
      <c r="K22" s="130"/>
      <c r="L22" s="39"/>
      <c r="M22" s="172">
        <f t="shared" si="2"/>
        <v>100.78885931317939</v>
      </c>
      <c r="O22" s="114">
        <v>445</v>
      </c>
      <c r="P22" s="17">
        <v>119.75</v>
      </c>
      <c r="Q22" s="17">
        <v>36.299999999999997</v>
      </c>
      <c r="R22" s="17">
        <v>-2.75</v>
      </c>
      <c r="U22" s="91">
        <f t="shared" si="3"/>
        <v>100.78885931317939</v>
      </c>
      <c r="V22" s="91">
        <f t="shared" si="4"/>
        <v>100.78885931317939</v>
      </c>
    </row>
    <row r="23" spans="1:22" ht="11.4">
      <c r="A23">
        <v>450</v>
      </c>
      <c r="B23" s="159">
        <v>0</v>
      </c>
      <c r="C23" s="4">
        <v>0.3362</v>
      </c>
      <c r="D23" s="4">
        <v>3.7999999999999999E-2</v>
      </c>
      <c r="E23" s="3">
        <v>1.7721100000000001</v>
      </c>
      <c r="H23">
        <f t="shared" si="0"/>
        <v>94644044383300.656</v>
      </c>
      <c r="I23" s="17">
        <f t="shared" si="1"/>
        <v>102.99459903703894</v>
      </c>
      <c r="J23" s="118"/>
      <c r="K23" s="130"/>
      <c r="L23" s="39"/>
      <c r="M23" s="172">
        <f t="shared" si="2"/>
        <v>106.93718380914852</v>
      </c>
      <c r="O23" s="114">
        <v>450</v>
      </c>
      <c r="P23" s="17">
        <v>125.6</v>
      </c>
      <c r="Q23" s="17">
        <v>35.9</v>
      </c>
      <c r="R23" s="17">
        <v>-2.9</v>
      </c>
      <c r="U23" s="91">
        <f t="shared" si="3"/>
        <v>106.93718380914852</v>
      </c>
      <c r="V23" s="91">
        <f t="shared" si="4"/>
        <v>106.93718380914852</v>
      </c>
    </row>
    <row r="24" spans="1:22" ht="11.4">
      <c r="A24">
        <v>455</v>
      </c>
      <c r="B24" s="159">
        <v>0</v>
      </c>
      <c r="C24" s="4">
        <v>0.31869999999999998</v>
      </c>
      <c r="D24" s="4">
        <v>4.8000000000000001E-2</v>
      </c>
      <c r="E24" s="3">
        <v>1.7441</v>
      </c>
      <c r="H24">
        <f t="shared" si="0"/>
        <v>95029525480312.984</v>
      </c>
      <c r="I24" s="17">
        <f t="shared" si="1"/>
        <v>103.41409158178216</v>
      </c>
      <c r="J24" s="118"/>
      <c r="K24" s="130"/>
      <c r="L24" s="39"/>
      <c r="M24" s="172">
        <f t="shared" si="2"/>
        <v>107.78623553932431</v>
      </c>
      <c r="O24" s="114">
        <v>455</v>
      </c>
      <c r="P24" s="17">
        <v>125.55</v>
      </c>
      <c r="Q24" s="17">
        <v>34.25</v>
      </c>
      <c r="R24" s="17">
        <v>-2.85</v>
      </c>
      <c r="U24" s="91">
        <f t="shared" si="3"/>
        <v>107.78623553932431</v>
      </c>
      <c r="V24" s="91">
        <f t="shared" si="4"/>
        <v>107.78623553932431</v>
      </c>
    </row>
    <row r="25" spans="1:22" ht="11.4">
      <c r="A25">
        <v>460</v>
      </c>
      <c r="B25" s="159">
        <v>1</v>
      </c>
      <c r="C25" s="4">
        <v>0.2908</v>
      </c>
      <c r="D25" s="4">
        <v>0.06</v>
      </c>
      <c r="E25" s="3">
        <v>1.6692</v>
      </c>
      <c r="H25">
        <f t="shared" si="0"/>
        <v>95352781165884.422</v>
      </c>
      <c r="I25" s="17">
        <f t="shared" si="1"/>
        <v>103.76586849430544</v>
      </c>
      <c r="J25" s="118"/>
      <c r="K25" s="130"/>
      <c r="L25" s="39"/>
      <c r="M25" s="172">
        <f t="shared" si="2"/>
        <v>108.6352872695001</v>
      </c>
      <c r="O25" s="114">
        <v>460</v>
      </c>
      <c r="P25" s="17">
        <v>125.5</v>
      </c>
      <c r="Q25" s="17">
        <v>32.6</v>
      </c>
      <c r="R25" s="17">
        <v>-2.8</v>
      </c>
      <c r="U25" s="91">
        <f t="shared" si="3"/>
        <v>108.6352872695001</v>
      </c>
      <c r="V25" s="91">
        <f t="shared" si="4"/>
        <v>108.6352872695001</v>
      </c>
    </row>
    <row r="26" spans="1:22" ht="11.4">
      <c r="A26">
        <v>465</v>
      </c>
      <c r="B26" s="159">
        <v>0</v>
      </c>
      <c r="C26" s="4">
        <v>0.25109999999999999</v>
      </c>
      <c r="D26" s="4">
        <v>7.3899999999999993E-2</v>
      </c>
      <c r="E26" s="3">
        <v>1.5281</v>
      </c>
      <c r="H26">
        <f t="shared" si="0"/>
        <v>95615884784254.141</v>
      </c>
      <c r="I26" s="17">
        <f t="shared" si="1"/>
        <v>104.05218605243343</v>
      </c>
      <c r="J26" s="118"/>
      <c r="K26" s="130"/>
      <c r="L26" s="39"/>
      <c r="M26" s="172">
        <f t="shared" si="2"/>
        <v>107.80148312196911</v>
      </c>
      <c r="O26" s="114">
        <v>465</v>
      </c>
      <c r="P26" s="17">
        <v>123.4</v>
      </c>
      <c r="Q26" s="17">
        <v>30.25</v>
      </c>
      <c r="R26" s="17">
        <v>-2.7</v>
      </c>
      <c r="U26" s="91">
        <f t="shared" si="3"/>
        <v>107.80148312196911</v>
      </c>
      <c r="V26" s="91">
        <f t="shared" si="4"/>
        <v>107.8014831219691</v>
      </c>
    </row>
    <row r="27" spans="1:22" ht="11.4">
      <c r="A27">
        <v>470</v>
      </c>
      <c r="B27" s="159">
        <v>0</v>
      </c>
      <c r="C27" s="4">
        <v>0.19536000000000001</v>
      </c>
      <c r="D27" s="4">
        <v>9.0980000000000005E-2</v>
      </c>
      <c r="E27" s="3">
        <v>1.2876399999999999</v>
      </c>
      <c r="H27">
        <f t="shared" si="0"/>
        <v>95820927475556.016</v>
      </c>
      <c r="I27" s="17">
        <f t="shared" si="1"/>
        <v>104.27531990003808</v>
      </c>
      <c r="J27" s="118"/>
      <c r="K27" s="130"/>
      <c r="L27" s="39"/>
      <c r="M27" s="172">
        <f t="shared" si="2"/>
        <v>106.96767897443812</v>
      </c>
      <c r="O27" s="114">
        <v>470</v>
      </c>
      <c r="P27" s="17">
        <v>121.3</v>
      </c>
      <c r="Q27" s="17">
        <v>27.9</v>
      </c>
      <c r="R27" s="17">
        <v>-2.6</v>
      </c>
      <c r="U27" s="91">
        <f t="shared" si="3"/>
        <v>106.96767897443812</v>
      </c>
      <c r="V27" s="91">
        <f t="shared" si="4"/>
        <v>106.96767897443812</v>
      </c>
    </row>
    <row r="28" spans="1:22" ht="11.4">
      <c r="A28">
        <v>475</v>
      </c>
      <c r="B28" s="159">
        <v>0</v>
      </c>
      <c r="C28" s="4">
        <v>0.1421</v>
      </c>
      <c r="D28" s="4">
        <v>0.11260000000000001</v>
      </c>
      <c r="E28" s="3">
        <v>1.0419</v>
      </c>
      <c r="H28">
        <f t="shared" si="0"/>
        <v>95970009143584.922</v>
      </c>
      <c r="I28" s="17">
        <f t="shared" si="1"/>
        <v>104.43755521788043</v>
      </c>
      <c r="J28" s="118"/>
      <c r="K28" s="130"/>
      <c r="L28" s="39"/>
      <c r="M28" s="172">
        <f t="shared" si="2"/>
        <v>107.97550391568927</v>
      </c>
      <c r="O28" s="114">
        <v>475</v>
      </c>
      <c r="P28" s="17">
        <v>121.3</v>
      </c>
      <c r="Q28" s="17">
        <v>26.1</v>
      </c>
      <c r="R28" s="17">
        <v>-2.6</v>
      </c>
      <c r="U28" s="91">
        <f t="shared" si="3"/>
        <v>107.97550391568927</v>
      </c>
      <c r="V28" s="91">
        <f t="shared" si="4"/>
        <v>107.97550391568927</v>
      </c>
    </row>
    <row r="29" spans="1:22" ht="11.4">
      <c r="A29">
        <v>480</v>
      </c>
      <c r="B29" s="159">
        <v>0</v>
      </c>
      <c r="C29" s="4">
        <v>9.5640000000000003E-2</v>
      </c>
      <c r="D29" s="4">
        <v>0.13902</v>
      </c>
      <c r="E29" s="3">
        <v>0.81294999999999995</v>
      </c>
      <c r="H29">
        <f t="shared" si="0"/>
        <v>96065230291471.359</v>
      </c>
      <c r="I29" s="17">
        <f t="shared" si="1"/>
        <v>104.5411778389372</v>
      </c>
      <c r="J29" s="118"/>
      <c r="K29" s="130"/>
      <c r="L29" s="39"/>
      <c r="M29" s="172">
        <f t="shared" si="2"/>
        <v>108.98332885694043</v>
      </c>
      <c r="O29" s="114">
        <v>480</v>
      </c>
      <c r="P29" s="17">
        <v>121.3</v>
      </c>
      <c r="Q29" s="17">
        <v>24.3</v>
      </c>
      <c r="R29" s="17">
        <v>-2.6</v>
      </c>
      <c r="U29" s="91">
        <f t="shared" si="3"/>
        <v>108.98332885694043</v>
      </c>
      <c r="V29" s="91">
        <f t="shared" si="4"/>
        <v>108.98332885694043</v>
      </c>
    </row>
    <row r="30" spans="1:22" ht="11.4">
      <c r="A30">
        <v>485</v>
      </c>
      <c r="B30" s="159">
        <v>0</v>
      </c>
      <c r="C30" s="4">
        <v>5.7950000000000002E-2</v>
      </c>
      <c r="D30" s="4">
        <v>0.16930000000000001</v>
      </c>
      <c r="E30" s="3">
        <v>0.61619999999999997</v>
      </c>
      <c r="H30">
        <f t="shared" si="0"/>
        <v>96108684674802.625</v>
      </c>
      <c r="I30" s="17">
        <f t="shared" si="1"/>
        <v>104.58846625329826</v>
      </c>
      <c r="J30" s="118"/>
      <c r="K30" s="130"/>
      <c r="L30" s="39"/>
      <c r="M30" s="172">
        <f t="shared" si="2"/>
        <v>106.0608222272979</v>
      </c>
      <c r="O30" s="114">
        <v>485</v>
      </c>
      <c r="P30" s="17">
        <v>117.4</v>
      </c>
      <c r="Q30" s="17">
        <v>22.2</v>
      </c>
      <c r="R30" s="17">
        <v>-2.2000000000000002</v>
      </c>
      <c r="U30" s="91">
        <f t="shared" si="3"/>
        <v>106.0608222272979</v>
      </c>
      <c r="V30" s="91">
        <f t="shared" si="4"/>
        <v>106.0608222272979</v>
      </c>
    </row>
    <row r="31" spans="1:22" ht="11.4">
      <c r="A31">
        <v>490</v>
      </c>
      <c r="B31" s="159">
        <v>0</v>
      </c>
      <c r="C31" s="4">
        <v>3.2009999999999997E-2</v>
      </c>
      <c r="D31" s="4">
        <v>0.20802000000000001</v>
      </c>
      <c r="E31" s="3">
        <v>0.46517999999999998</v>
      </c>
      <c r="H31">
        <f t="shared" si="0"/>
        <v>96102452721969.766</v>
      </c>
      <c r="I31" s="17">
        <f t="shared" si="1"/>
        <v>104.58168444798319</v>
      </c>
      <c r="J31" s="118"/>
      <c r="K31" s="130"/>
      <c r="L31" s="39"/>
      <c r="M31" s="172">
        <f t="shared" si="2"/>
        <v>103.13831559765538</v>
      </c>
      <c r="O31" s="114">
        <v>490</v>
      </c>
      <c r="P31" s="17">
        <v>113.5</v>
      </c>
      <c r="Q31" s="17">
        <v>20.100000000000001</v>
      </c>
      <c r="R31" s="17">
        <v>-1.8</v>
      </c>
      <c r="U31" s="91">
        <f t="shared" si="3"/>
        <v>103.13831559765538</v>
      </c>
      <c r="V31" s="91">
        <f t="shared" si="4"/>
        <v>103.13831559765538</v>
      </c>
    </row>
    <row r="32" spans="1:22" ht="11.4">
      <c r="A32">
        <v>495</v>
      </c>
      <c r="B32" s="159">
        <v>0</v>
      </c>
      <c r="C32" s="4">
        <v>1.47E-2</v>
      </c>
      <c r="D32" s="4">
        <v>0.2586</v>
      </c>
      <c r="E32" s="3">
        <v>0.3533</v>
      </c>
      <c r="H32">
        <f t="shared" si="0"/>
        <v>96048595672224.469</v>
      </c>
      <c r="I32" s="17">
        <f t="shared" si="1"/>
        <v>104.52307552779197</v>
      </c>
      <c r="J32" s="118"/>
      <c r="K32" s="130"/>
      <c r="L32" s="39"/>
      <c r="M32" s="172">
        <f t="shared" si="2"/>
        <v>103.95576255276413</v>
      </c>
      <c r="O32" s="114">
        <v>495</v>
      </c>
      <c r="P32" s="17">
        <v>113.3</v>
      </c>
      <c r="Q32" s="17">
        <v>18.149999999999999</v>
      </c>
      <c r="R32" s="17">
        <v>-1.65</v>
      </c>
      <c r="U32" s="91">
        <f t="shared" si="3"/>
        <v>103.95576255276413</v>
      </c>
      <c r="V32" s="91">
        <f t="shared" si="4"/>
        <v>103.95576255276414</v>
      </c>
    </row>
    <row r="33" spans="1:22" ht="11.4">
      <c r="A33">
        <v>500</v>
      </c>
      <c r="B33" s="159">
        <v>0</v>
      </c>
      <c r="C33" s="4">
        <v>4.8999999999999998E-3</v>
      </c>
      <c r="D33" s="4">
        <v>0.32300000000000001</v>
      </c>
      <c r="E33" s="3">
        <v>0.27200000000000002</v>
      </c>
      <c r="F33" s="13"/>
      <c r="G33" s="13"/>
      <c r="H33">
        <f t="shared" si="0"/>
        <v>95949150383008.359</v>
      </c>
      <c r="I33" s="17">
        <f t="shared" si="1"/>
        <v>104.41485606447895</v>
      </c>
      <c r="J33" s="118"/>
      <c r="K33" s="130"/>
      <c r="L33" s="39"/>
      <c r="M33" s="172">
        <f t="shared" si="2"/>
        <v>104.77320950787288</v>
      </c>
      <c r="O33" s="114">
        <v>500</v>
      </c>
      <c r="P33" s="17">
        <v>113.1</v>
      </c>
      <c r="Q33" s="17">
        <v>16.2</v>
      </c>
      <c r="R33" s="17">
        <v>-1.5</v>
      </c>
      <c r="U33" s="91">
        <f t="shared" si="3"/>
        <v>104.77320950787288</v>
      </c>
      <c r="V33" s="91">
        <f t="shared" si="4"/>
        <v>104.77320950787288</v>
      </c>
    </row>
    <row r="34" spans="1:22" ht="11.4">
      <c r="A34">
        <v>505</v>
      </c>
      <c r="B34" s="159">
        <v>0</v>
      </c>
      <c r="C34" s="4">
        <v>2.3999999999999998E-3</v>
      </c>
      <c r="D34" s="4">
        <v>0.4073</v>
      </c>
      <c r="E34" s="3">
        <v>0.21229999999999999</v>
      </c>
      <c r="F34" s="13"/>
      <c r="G34" s="13"/>
      <c r="H34">
        <f t="shared" si="0"/>
        <v>95806124759499.875</v>
      </c>
      <c r="I34" s="17">
        <f t="shared" si="1"/>
        <v>104.25921112304324</v>
      </c>
      <c r="J34" s="118"/>
      <c r="K34" s="130"/>
      <c r="L34" s="39"/>
      <c r="M34" s="172">
        <f t="shared" si="2"/>
        <v>104.4134880269733</v>
      </c>
      <c r="O34" s="114">
        <v>505</v>
      </c>
      <c r="P34" s="17">
        <v>111.95</v>
      </c>
      <c r="Q34" s="17">
        <v>14.7</v>
      </c>
      <c r="R34" s="17">
        <v>-1.4</v>
      </c>
      <c r="U34" s="91">
        <f t="shared" si="3"/>
        <v>104.4134880269733</v>
      </c>
      <c r="V34" s="91">
        <f t="shared" si="4"/>
        <v>104.4134880269733</v>
      </c>
    </row>
    <row r="35" spans="1:22" ht="11.4">
      <c r="A35">
        <v>510</v>
      </c>
      <c r="B35" s="159">
        <v>0</v>
      </c>
      <c r="C35" s="4">
        <v>9.2999999999999992E-3</v>
      </c>
      <c r="D35" s="4">
        <v>0.503</v>
      </c>
      <c r="E35" s="3">
        <v>0.15820000000000001</v>
      </c>
      <c r="F35" s="13"/>
      <c r="G35" s="13"/>
      <c r="H35">
        <f t="shared" si="0"/>
        <v>95621493760937.781</v>
      </c>
      <c r="I35" s="17">
        <f t="shared" si="1"/>
        <v>104.05828991568551</v>
      </c>
      <c r="J35" s="118"/>
      <c r="K35" s="130"/>
      <c r="L35" s="39"/>
      <c r="M35" s="172">
        <f t="shared" si="2"/>
        <v>104.05376654607372</v>
      </c>
      <c r="O35" s="114">
        <v>510</v>
      </c>
      <c r="P35" s="17">
        <v>110.8</v>
      </c>
      <c r="Q35" s="17">
        <v>13.2</v>
      </c>
      <c r="R35" s="17">
        <v>-1.3</v>
      </c>
      <c r="U35" s="91">
        <f t="shared" si="3"/>
        <v>104.05376654607372</v>
      </c>
      <c r="V35" s="91">
        <f t="shared" si="4"/>
        <v>104.05376654607372</v>
      </c>
    </row>
    <row r="36" spans="1:22" ht="11.4">
      <c r="A36">
        <v>515</v>
      </c>
      <c r="B36" s="159">
        <v>0</v>
      </c>
      <c r="C36" s="4">
        <v>2.9100000000000001E-2</v>
      </c>
      <c r="D36" s="4">
        <v>0.60819999999999996</v>
      </c>
      <c r="E36" s="3">
        <v>0.11169999999999999</v>
      </c>
      <c r="F36" s="13"/>
      <c r="G36" s="13"/>
      <c r="H36">
        <f t="shared" si="0"/>
        <v>95397195940068.062</v>
      </c>
      <c r="I36" s="17">
        <f t="shared" si="1"/>
        <v>103.81420203592627</v>
      </c>
      <c r="J36" s="118"/>
      <c r="K36" s="130"/>
      <c r="L36" s="39"/>
      <c r="M36" s="172">
        <f t="shared" si="2"/>
        <v>103.16675506059019</v>
      </c>
      <c r="O36" s="114">
        <v>515</v>
      </c>
      <c r="P36" s="17">
        <v>108.65</v>
      </c>
      <c r="Q36" s="17">
        <v>10.9</v>
      </c>
      <c r="R36" s="17">
        <v>-1.25</v>
      </c>
      <c r="U36" s="91">
        <f t="shared" si="3"/>
        <v>103.16675506059019</v>
      </c>
      <c r="V36" s="91">
        <f t="shared" si="4"/>
        <v>103.16675506059019</v>
      </c>
    </row>
    <row r="37" spans="1:22" ht="11.4">
      <c r="A37">
        <v>520</v>
      </c>
      <c r="B37" s="159">
        <v>0</v>
      </c>
      <c r="C37" s="4">
        <v>6.3270000000000007E-2</v>
      </c>
      <c r="D37" s="4">
        <v>0.71</v>
      </c>
      <c r="E37" s="3">
        <v>7.825E-2</v>
      </c>
      <c r="F37" s="13"/>
      <c r="G37" s="13"/>
      <c r="H37">
        <f t="shared" si="0"/>
        <v>95135130473977.703</v>
      </c>
      <c r="I37" s="17">
        <f t="shared" si="1"/>
        <v>103.52901422746663</v>
      </c>
      <c r="J37" s="118"/>
      <c r="K37" s="130"/>
      <c r="L37" s="39"/>
      <c r="M37" s="172">
        <f t="shared" si="2"/>
        <v>102.27974357510666</v>
      </c>
      <c r="O37" s="114">
        <v>520</v>
      </c>
      <c r="P37" s="17">
        <v>106.5</v>
      </c>
      <c r="Q37" s="17">
        <v>8.6</v>
      </c>
      <c r="R37" s="17">
        <v>-1.2</v>
      </c>
      <c r="U37" s="91">
        <f t="shared" si="3"/>
        <v>102.27974357510666</v>
      </c>
      <c r="V37" s="91">
        <f t="shared" si="4"/>
        <v>102.27974357510666</v>
      </c>
    </row>
    <row r="38" spans="1:22" ht="11.4">
      <c r="A38">
        <v>525</v>
      </c>
      <c r="B38" s="159">
        <v>0</v>
      </c>
      <c r="C38" s="4">
        <v>0.1096</v>
      </c>
      <c r="D38" s="4">
        <v>0.79320000000000002</v>
      </c>
      <c r="E38" s="3">
        <v>5.7250000000000002E-2</v>
      </c>
      <c r="F38" s="13"/>
      <c r="G38" s="13"/>
      <c r="H38">
        <f t="shared" si="0"/>
        <v>94837154646579.687</v>
      </c>
      <c r="I38" s="17">
        <f t="shared" si="1"/>
        <v>103.20474764454993</v>
      </c>
      <c r="J38" s="118"/>
      <c r="K38" s="130"/>
      <c r="L38" s="39"/>
      <c r="M38" s="172">
        <f t="shared" si="2"/>
        <v>104.0800464079222</v>
      </c>
      <c r="O38" s="114">
        <v>525</v>
      </c>
      <c r="P38" s="17">
        <v>107.65</v>
      </c>
      <c r="Q38" s="17">
        <v>7.35</v>
      </c>
      <c r="R38" s="17">
        <v>-1.1000000000000001</v>
      </c>
      <c r="U38" s="91">
        <f t="shared" si="3"/>
        <v>104.0800464079222</v>
      </c>
      <c r="V38" s="91">
        <f t="shared" si="4"/>
        <v>104.0800464079222</v>
      </c>
    </row>
    <row r="39" spans="1:22" ht="11.4">
      <c r="A39">
        <v>530</v>
      </c>
      <c r="B39" s="159">
        <v>0</v>
      </c>
      <c r="C39" s="4">
        <v>0.16550000000000001</v>
      </c>
      <c r="D39" s="4">
        <v>0.86199999999999999</v>
      </c>
      <c r="E39" s="3">
        <v>4.2160000000000003E-2</v>
      </c>
      <c r="F39" s="13"/>
      <c r="G39" s="13"/>
      <c r="H39">
        <f t="shared" si="0"/>
        <v>94505081745063.625</v>
      </c>
      <c r="I39" s="17">
        <f t="shared" si="1"/>
        <v>102.84337556281388</v>
      </c>
      <c r="J39" s="118"/>
      <c r="K39" s="130"/>
      <c r="L39" s="39"/>
      <c r="M39" s="172">
        <f t="shared" si="2"/>
        <v>105.88034924073773</v>
      </c>
      <c r="O39" s="114">
        <v>530</v>
      </c>
      <c r="P39" s="17">
        <v>108.8</v>
      </c>
      <c r="Q39" s="17">
        <v>6.1</v>
      </c>
      <c r="R39" s="17">
        <v>-1</v>
      </c>
      <c r="U39" s="91">
        <f t="shared" si="3"/>
        <v>105.88034924073773</v>
      </c>
      <c r="V39" s="91">
        <f t="shared" si="4"/>
        <v>105.88034924073773</v>
      </c>
    </row>
    <row r="40" spans="1:22" ht="11.4">
      <c r="A40">
        <v>535</v>
      </c>
      <c r="B40" s="159">
        <v>1</v>
      </c>
      <c r="C40" s="4">
        <v>0.22575000000000001</v>
      </c>
      <c r="D40" s="4">
        <v>0.91485000000000005</v>
      </c>
      <c r="E40" s="3">
        <v>2.9839999999999998E-2</v>
      </c>
      <c r="F40" s="13"/>
      <c r="G40" s="13"/>
      <c r="H40">
        <f t="shared" si="0"/>
        <v>94140679334696.562</v>
      </c>
      <c r="I40" s="17">
        <f t="shared" si="1"/>
        <v>102.44682150187491</v>
      </c>
      <c r="J40" s="118"/>
      <c r="K40" s="130"/>
      <c r="L40" s="39"/>
      <c r="M40" s="172">
        <f t="shared" si="2"/>
        <v>104.53831785209806</v>
      </c>
      <c r="O40" s="114">
        <v>535</v>
      </c>
      <c r="P40" s="17">
        <v>107.05</v>
      </c>
      <c r="Q40" s="17">
        <v>5.15</v>
      </c>
      <c r="R40" s="17">
        <v>-0.75</v>
      </c>
      <c r="U40" s="91">
        <f t="shared" si="3"/>
        <v>104.53831785209806</v>
      </c>
      <c r="V40" s="91">
        <f t="shared" si="4"/>
        <v>104.53831785209806</v>
      </c>
    </row>
    <row r="41" spans="1:22" ht="11.4">
      <c r="A41">
        <v>540</v>
      </c>
      <c r="B41" s="159">
        <v>0</v>
      </c>
      <c r="C41" s="4">
        <v>0.29039999999999999</v>
      </c>
      <c r="D41" s="4">
        <v>0.95399999999999996</v>
      </c>
      <c r="E41" s="3">
        <v>2.0299999999999999E-2</v>
      </c>
      <c r="F41" s="13"/>
      <c r="G41" s="13"/>
      <c r="H41">
        <f t="shared" si="0"/>
        <v>93745667878426.281</v>
      </c>
      <c r="I41" s="17">
        <f t="shared" si="1"/>
        <v>102.01695772313752</v>
      </c>
      <c r="J41" s="118"/>
      <c r="K41" s="130"/>
      <c r="L41" s="39"/>
      <c r="M41" s="172">
        <f t="shared" si="2"/>
        <v>103.19628646345839</v>
      </c>
      <c r="O41" s="114">
        <v>540</v>
      </c>
      <c r="P41" s="17">
        <v>105.3</v>
      </c>
      <c r="Q41" s="17">
        <v>4.2</v>
      </c>
      <c r="R41" s="17">
        <v>-0.5</v>
      </c>
      <c r="U41" s="91">
        <f t="shared" si="3"/>
        <v>103.19628646345839</v>
      </c>
      <c r="V41" s="91">
        <f t="shared" si="4"/>
        <v>103.19628646345841</v>
      </c>
    </row>
    <row r="42" spans="1:22" ht="11.4">
      <c r="A42">
        <v>545</v>
      </c>
      <c r="B42" s="159">
        <v>0</v>
      </c>
      <c r="C42" s="4">
        <v>0.35970000000000002</v>
      </c>
      <c r="D42" s="4">
        <v>0.98029999999999995</v>
      </c>
      <c r="E42" s="3">
        <v>1.34E-2</v>
      </c>
      <c r="F42" s="13"/>
      <c r="G42" s="13"/>
      <c r="H42">
        <f t="shared" si="0"/>
        <v>93321719669778.766</v>
      </c>
      <c r="I42" s="17">
        <f t="shared" si="1"/>
        <v>101.55560406854005</v>
      </c>
      <c r="J42" s="118"/>
      <c r="K42" s="130"/>
      <c r="L42" s="39"/>
      <c r="M42" s="172">
        <f t="shared" si="2"/>
        <v>103.34059902175997</v>
      </c>
      <c r="O42" s="114">
        <v>545</v>
      </c>
      <c r="P42" s="17">
        <v>104.85</v>
      </c>
      <c r="Q42" s="17">
        <v>3.05</v>
      </c>
      <c r="R42" s="17">
        <v>-0.4</v>
      </c>
      <c r="U42" s="91">
        <f t="shared" si="3"/>
        <v>103.34059902175997</v>
      </c>
      <c r="V42" s="91">
        <f t="shared" si="4"/>
        <v>103.34059902175997</v>
      </c>
    </row>
    <row r="43" spans="1:22" ht="11.4">
      <c r="A43">
        <v>550</v>
      </c>
      <c r="B43" s="159">
        <v>0</v>
      </c>
      <c r="C43" s="4">
        <v>0.43345</v>
      </c>
      <c r="D43" s="4">
        <v>0.99495</v>
      </c>
      <c r="E43" s="3">
        <v>8.7500000000000008E-3</v>
      </c>
      <c r="F43" s="13"/>
      <c r="G43" s="13"/>
      <c r="H43">
        <f t="shared" si="0"/>
        <v>92870458049546.109</v>
      </c>
      <c r="I43" s="17">
        <f t="shared" si="1"/>
        <v>101.06452710812997</v>
      </c>
      <c r="J43" s="118"/>
      <c r="K43" s="130"/>
      <c r="L43" s="39"/>
      <c r="M43" s="172">
        <f t="shared" si="2"/>
        <v>103.48491158006156</v>
      </c>
      <c r="O43" s="114">
        <v>550</v>
      </c>
      <c r="P43" s="17">
        <v>104.4</v>
      </c>
      <c r="Q43" s="17">
        <v>1.9</v>
      </c>
      <c r="R43" s="17">
        <v>-0.3</v>
      </c>
      <c r="U43" s="91">
        <f t="shared" si="3"/>
        <v>103.48491158006156</v>
      </c>
      <c r="V43" s="91">
        <f t="shared" si="4"/>
        <v>103.48491158006156</v>
      </c>
    </row>
    <row r="44" spans="1:22" ht="11.4">
      <c r="A44">
        <v>555</v>
      </c>
      <c r="B44" s="159">
        <v>0</v>
      </c>
      <c r="C44" s="4">
        <v>0.51205000000000001</v>
      </c>
      <c r="D44" s="4">
        <v>1</v>
      </c>
      <c r="E44" s="3">
        <v>5.7499999999999999E-3</v>
      </c>
      <c r="F44" s="13"/>
      <c r="G44" s="13"/>
      <c r="H44">
        <f t="shared" si="0"/>
        <v>92393456878706.156</v>
      </c>
      <c r="I44" s="17">
        <f t="shared" si="1"/>
        <v>100.54543956647873</v>
      </c>
      <c r="J44" s="118"/>
      <c r="K44" s="130"/>
      <c r="L44" s="39"/>
      <c r="M44" s="172">
        <f t="shared" si="2"/>
        <v>101.74245579003077</v>
      </c>
      <c r="O44" s="114">
        <v>555</v>
      </c>
      <c r="P44" s="17">
        <v>102.2</v>
      </c>
      <c r="Q44" s="17">
        <v>0.95</v>
      </c>
      <c r="R44" s="17">
        <v>-0.15</v>
      </c>
      <c r="U44" s="91">
        <f t="shared" si="3"/>
        <v>101.74245579003077</v>
      </c>
      <c r="V44" s="91">
        <f t="shared" si="4"/>
        <v>101.74245579003077</v>
      </c>
    </row>
    <row r="45" spans="1:22" ht="11.4">
      <c r="A45">
        <v>560</v>
      </c>
      <c r="B45" s="159">
        <v>0</v>
      </c>
      <c r="C45" s="4">
        <v>0.59450000000000003</v>
      </c>
      <c r="D45" s="4">
        <v>0.995</v>
      </c>
      <c r="E45" s="3">
        <v>3.8999999999999998E-3</v>
      </c>
      <c r="F45" s="13"/>
      <c r="G45" s="13"/>
      <c r="H45">
        <f t="shared" si="0"/>
        <v>91892240241903.125</v>
      </c>
      <c r="I45" s="17">
        <f t="shared" si="1"/>
        <v>100</v>
      </c>
      <c r="J45" s="118"/>
      <c r="K45" s="130"/>
      <c r="L45" s="39"/>
      <c r="M45" s="172">
        <f t="shared" si="2"/>
        <v>100</v>
      </c>
      <c r="O45" s="114">
        <v>560</v>
      </c>
      <c r="P45" s="17">
        <v>100</v>
      </c>
      <c r="Q45" s="17">
        <v>0</v>
      </c>
      <c r="R45" s="17">
        <v>0</v>
      </c>
      <c r="U45" s="91">
        <f t="shared" si="3"/>
        <v>100</v>
      </c>
      <c r="V45" s="91">
        <f t="shared" si="4"/>
        <v>100</v>
      </c>
    </row>
    <row r="46" spans="1:22" ht="11.4">
      <c r="A46">
        <v>565</v>
      </c>
      <c r="B46" s="159">
        <v>0</v>
      </c>
      <c r="C46" s="4">
        <v>0.6784</v>
      </c>
      <c r="D46" s="4">
        <v>0.97860000000000003</v>
      </c>
      <c r="E46" s="3">
        <v>2.7499999999999998E-3</v>
      </c>
      <c r="F46" s="13"/>
      <c r="G46" s="13"/>
      <c r="H46">
        <f t="shared" si="0"/>
        <v>91368282357628.75</v>
      </c>
      <c r="I46" s="17">
        <f t="shared" si="1"/>
        <v>99.429812699206082</v>
      </c>
      <c r="J46" s="118"/>
      <c r="K46" s="130"/>
      <c r="L46" s="39"/>
      <c r="M46" s="172">
        <f t="shared" si="2"/>
        <v>98.398346597502737</v>
      </c>
      <c r="O46" s="114">
        <v>565</v>
      </c>
      <c r="P46" s="17">
        <v>98</v>
      </c>
      <c r="Q46" s="17">
        <v>-0.8</v>
      </c>
      <c r="R46" s="17">
        <v>0.1</v>
      </c>
      <c r="U46" s="91">
        <f t="shared" si="3"/>
        <v>98.398346597502737</v>
      </c>
      <c r="V46" s="91">
        <f t="shared" si="4"/>
        <v>98.398346597502737</v>
      </c>
    </row>
    <row r="47" spans="1:22" ht="11.4">
      <c r="A47">
        <v>570</v>
      </c>
      <c r="B47" s="159">
        <v>0</v>
      </c>
      <c r="C47" s="4">
        <v>0.7621</v>
      </c>
      <c r="D47" s="4">
        <v>0.95199999999999996</v>
      </c>
      <c r="E47" s="3">
        <v>2.0999999999999999E-3</v>
      </c>
      <c r="F47" s="13"/>
      <c r="G47" s="13"/>
      <c r="H47">
        <f t="shared" si="0"/>
        <v>90823007672984.656</v>
      </c>
      <c r="I47" s="17">
        <f t="shared" si="1"/>
        <v>98.836427791831227</v>
      </c>
      <c r="J47" s="118"/>
      <c r="K47" s="130"/>
      <c r="L47" s="39"/>
      <c r="M47" s="172">
        <f t="shared" si="2"/>
        <v>96.796693195005474</v>
      </c>
      <c r="O47" s="114">
        <v>570</v>
      </c>
      <c r="P47" s="17">
        <v>96</v>
      </c>
      <c r="Q47" s="17">
        <v>-1.6</v>
      </c>
      <c r="R47" s="17">
        <v>0.2</v>
      </c>
      <c r="U47" s="91">
        <f t="shared" si="3"/>
        <v>96.796693195005474</v>
      </c>
      <c r="V47" s="91">
        <f t="shared" si="4"/>
        <v>96.796693195005489</v>
      </c>
    </row>
    <row r="48" spans="1:22" ht="11.4">
      <c r="A48">
        <v>575</v>
      </c>
      <c r="B48" s="159">
        <v>0</v>
      </c>
      <c r="C48" s="4">
        <v>0.84250000000000003</v>
      </c>
      <c r="D48" s="4">
        <v>0.91539999999999999</v>
      </c>
      <c r="E48" s="3">
        <v>1.8E-3</v>
      </c>
      <c r="F48" s="13"/>
      <c r="G48" s="13"/>
      <c r="H48">
        <f t="shared" si="0"/>
        <v>90257791122561.312</v>
      </c>
      <c r="I48" s="17">
        <f t="shared" si="1"/>
        <v>98.221341524551832</v>
      </c>
      <c r="J48" s="118"/>
      <c r="K48" s="130"/>
      <c r="L48" s="39"/>
      <c r="M48" s="172">
        <f t="shared" si="2"/>
        <v>96.8042374049747</v>
      </c>
      <c r="O48" s="114">
        <v>575</v>
      </c>
      <c r="P48" s="17">
        <v>95.55</v>
      </c>
      <c r="Q48" s="17">
        <v>-2.5499999999999998</v>
      </c>
      <c r="R48" s="17">
        <v>0.35</v>
      </c>
      <c r="U48" s="91">
        <f t="shared" si="3"/>
        <v>96.8042374049747</v>
      </c>
      <c r="V48" s="91">
        <f t="shared" si="4"/>
        <v>96.8042374049747</v>
      </c>
    </row>
    <row r="49" spans="1:22" ht="11.4">
      <c r="A49">
        <v>580</v>
      </c>
      <c r="B49" s="159">
        <v>0</v>
      </c>
      <c r="C49" s="4">
        <v>0.9163</v>
      </c>
      <c r="D49" s="4">
        <v>0.87</v>
      </c>
      <c r="E49" s="3">
        <v>1.65E-3</v>
      </c>
      <c r="F49" s="13"/>
      <c r="G49" s="13"/>
      <c r="H49">
        <f t="shared" si="0"/>
        <v>89673958532544.734</v>
      </c>
      <c r="I49" s="17">
        <f t="shared" si="1"/>
        <v>97.585996702747863</v>
      </c>
      <c r="J49" s="118"/>
      <c r="K49" s="130"/>
      <c r="L49" s="39"/>
      <c r="M49" s="172">
        <f t="shared" si="2"/>
        <v>96.811781614943925</v>
      </c>
      <c r="O49" s="114">
        <v>580</v>
      </c>
      <c r="P49" s="17">
        <v>95.1</v>
      </c>
      <c r="Q49" s="17">
        <v>-3.5</v>
      </c>
      <c r="R49" s="17">
        <v>0.5</v>
      </c>
      <c r="U49" s="91">
        <f t="shared" si="3"/>
        <v>96.811781614943925</v>
      </c>
      <c r="V49" s="91">
        <f t="shared" si="4"/>
        <v>96.811781614943925</v>
      </c>
    </row>
    <row r="50" spans="1:22" ht="11.4">
      <c r="A50">
        <v>585</v>
      </c>
      <c r="B50" s="159">
        <v>0</v>
      </c>
      <c r="C50" s="4">
        <v>0.97860000000000003</v>
      </c>
      <c r="D50" s="4">
        <v>0.81630000000000003</v>
      </c>
      <c r="E50" s="3">
        <v>1.4E-3</v>
      </c>
      <c r="F50" s="13"/>
      <c r="G50" s="13"/>
      <c r="H50">
        <f t="shared" si="0"/>
        <v>89072787152653.891</v>
      </c>
      <c r="I50" s="17">
        <f t="shared" si="1"/>
        <v>96.931783269373867</v>
      </c>
      <c r="J50" s="118"/>
      <c r="K50" s="130"/>
      <c r="L50" s="39"/>
      <c r="M50" s="172">
        <f t="shared" si="2"/>
        <v>93.415176826072823</v>
      </c>
      <c r="O50" s="114">
        <v>585</v>
      </c>
      <c r="P50" s="17">
        <v>92.1</v>
      </c>
      <c r="Q50" s="17">
        <v>-3.5</v>
      </c>
      <c r="R50" s="17">
        <v>1.3</v>
      </c>
      <c r="U50" s="91">
        <f t="shared" si="3"/>
        <v>93.415176826072823</v>
      </c>
      <c r="V50" s="91">
        <f t="shared" si="4"/>
        <v>93.415176826072823</v>
      </c>
    </row>
    <row r="51" spans="1:22" ht="11.4">
      <c r="A51">
        <v>590</v>
      </c>
      <c r="B51" s="159">
        <v>0</v>
      </c>
      <c r="C51" s="4">
        <v>1.0263</v>
      </c>
      <c r="D51" s="4">
        <v>0.75700000000000001</v>
      </c>
      <c r="E51" s="3">
        <v>1.1000000000000001E-3</v>
      </c>
      <c r="F51" s="13"/>
      <c r="G51" s="13"/>
      <c r="H51">
        <f t="shared" si="0"/>
        <v>88455506299919.703</v>
      </c>
      <c r="I51" s="17">
        <f t="shared" si="1"/>
        <v>96.260039005539156</v>
      </c>
      <c r="J51" s="118"/>
      <c r="K51" s="130"/>
      <c r="L51" s="39"/>
      <c r="M51" s="172">
        <f t="shared" si="2"/>
        <v>90.018572037201736</v>
      </c>
      <c r="O51" s="114">
        <v>590</v>
      </c>
      <c r="P51" s="17">
        <v>89.1</v>
      </c>
      <c r="Q51" s="17">
        <v>-3.5</v>
      </c>
      <c r="R51" s="17">
        <v>2.1</v>
      </c>
      <c r="U51" s="91">
        <f t="shared" si="3"/>
        <v>90.018572037201736</v>
      </c>
      <c r="V51" s="91">
        <f t="shared" si="4"/>
        <v>90.018572037201736</v>
      </c>
    </row>
    <row r="52" spans="1:22" ht="11.4">
      <c r="A52">
        <v>595</v>
      </c>
      <c r="B52" s="159">
        <v>0</v>
      </c>
      <c r="C52" s="4">
        <v>1.0567</v>
      </c>
      <c r="D52" s="4">
        <v>0.69489999999999996</v>
      </c>
      <c r="E52" s="3">
        <v>1E-3</v>
      </c>
      <c r="F52" s="13"/>
      <c r="G52" s="13"/>
      <c r="H52">
        <f t="shared" si="0"/>
        <v>87823298099642.75</v>
      </c>
      <c r="I52" s="17">
        <f t="shared" si="1"/>
        <v>95.572050336841258</v>
      </c>
      <c r="J52" s="118"/>
      <c r="K52" s="130"/>
      <c r="L52" s="39"/>
      <c r="M52" s="172">
        <f t="shared" si="2"/>
        <v>91.089794401763328</v>
      </c>
      <c r="O52" s="114">
        <v>595</v>
      </c>
      <c r="P52" s="17">
        <v>89.8</v>
      </c>
      <c r="Q52" s="17">
        <v>-4.6500000000000004</v>
      </c>
      <c r="R52" s="17">
        <v>2.65</v>
      </c>
      <c r="U52" s="91">
        <f t="shared" si="3"/>
        <v>91.089794401763328</v>
      </c>
      <c r="V52" s="91">
        <f t="shared" si="4"/>
        <v>91.089794401763314</v>
      </c>
    </row>
    <row r="53" spans="1:22" ht="11.4">
      <c r="A53">
        <v>600</v>
      </c>
      <c r="B53" s="159">
        <v>1</v>
      </c>
      <c r="C53" s="4">
        <v>1.0622</v>
      </c>
      <c r="D53" s="4">
        <v>0.63100000000000001</v>
      </c>
      <c r="E53" s="3">
        <v>8.0000000000000004E-4</v>
      </c>
      <c r="F53" s="13"/>
      <c r="G53" s="13"/>
      <c r="H53">
        <f t="shared" si="0"/>
        <v>87177298310109.578</v>
      </c>
      <c r="I53" s="17">
        <f t="shared" si="1"/>
        <v>94.869053230847754</v>
      </c>
      <c r="J53" s="118"/>
      <c r="K53" s="130"/>
      <c r="L53" s="39"/>
      <c r="M53" s="172">
        <f t="shared" si="2"/>
        <v>92.16101676632492</v>
      </c>
      <c r="O53" s="114">
        <v>600</v>
      </c>
      <c r="P53" s="17">
        <v>90.5</v>
      </c>
      <c r="Q53" s="17">
        <v>-5.8</v>
      </c>
      <c r="R53" s="17">
        <v>3.2</v>
      </c>
      <c r="U53" s="91">
        <f t="shared" si="3"/>
        <v>92.16101676632492</v>
      </c>
      <c r="V53" s="91">
        <f t="shared" si="4"/>
        <v>92.16101676632492</v>
      </c>
    </row>
    <row r="54" spans="1:22" ht="11.4">
      <c r="A54">
        <v>605</v>
      </c>
      <c r="B54" s="159">
        <v>0</v>
      </c>
      <c r="C54" s="4">
        <v>1.0456000000000001</v>
      </c>
      <c r="D54" s="4">
        <v>0.56679999999999997</v>
      </c>
      <c r="E54" s="3">
        <v>5.9999999999999995E-4</v>
      </c>
      <c r="F54" s="13"/>
      <c r="G54" s="13"/>
      <c r="H54">
        <f t="shared" si="0"/>
        <v>86518597218816.516</v>
      </c>
      <c r="I54" s="17">
        <f t="shared" si="1"/>
        <v>94.152234172395112</v>
      </c>
      <c r="J54" s="118"/>
      <c r="K54" s="130"/>
      <c r="L54" s="39"/>
      <c r="M54" s="172">
        <f t="shared" si="2"/>
        <v>92.229858494182622</v>
      </c>
      <c r="O54" s="114">
        <v>605</v>
      </c>
      <c r="P54" s="17">
        <v>90.4</v>
      </c>
      <c r="Q54" s="17">
        <v>-6.5</v>
      </c>
      <c r="R54" s="17">
        <v>3.65</v>
      </c>
      <c r="U54" s="91">
        <f t="shared" si="3"/>
        <v>92.229858494182622</v>
      </c>
      <c r="V54" s="91">
        <f t="shared" si="4"/>
        <v>92.229858494182622</v>
      </c>
    </row>
    <row r="55" spans="1:22" ht="11.4">
      <c r="A55">
        <v>610</v>
      </c>
      <c r="B55" s="159">
        <v>0</v>
      </c>
      <c r="C55" s="4">
        <v>1.0025999999999999</v>
      </c>
      <c r="D55" s="4">
        <v>0.503</v>
      </c>
      <c r="E55" s="3">
        <v>3.4000000000000002E-4</v>
      </c>
      <c r="F55" s="13"/>
      <c r="G55" s="13"/>
      <c r="H55">
        <f t="shared" si="0"/>
        <v>85848240599035.969</v>
      </c>
      <c r="I55" s="17">
        <f t="shared" si="1"/>
        <v>93.422731204553799</v>
      </c>
      <c r="J55" s="118"/>
      <c r="K55" s="130"/>
      <c r="L55" s="39"/>
      <c r="M55" s="172">
        <f t="shared" si="2"/>
        <v>92.298700222040281</v>
      </c>
      <c r="O55" s="114">
        <v>610</v>
      </c>
      <c r="P55" s="17">
        <v>90.3</v>
      </c>
      <c r="Q55" s="17">
        <v>-7.2</v>
      </c>
      <c r="R55" s="17">
        <v>4.0999999999999996</v>
      </c>
      <c r="U55" s="91">
        <f t="shared" si="3"/>
        <v>92.298700222040281</v>
      </c>
      <c r="V55" s="91">
        <f t="shared" si="4"/>
        <v>92.298700222040281</v>
      </c>
    </row>
    <row r="56" spans="1:22" ht="11.4">
      <c r="A56">
        <v>615</v>
      </c>
      <c r="B56" s="159">
        <v>0</v>
      </c>
      <c r="C56" s="4">
        <v>0.93840000000000001</v>
      </c>
      <c r="D56" s="4">
        <v>0.44119999999999998</v>
      </c>
      <c r="E56" s="3">
        <v>2.4000000000000001E-4</v>
      </c>
      <c r="F56" s="13"/>
      <c r="G56" s="13"/>
      <c r="H56">
        <f t="shared" si="0"/>
        <v>85167230716577.562</v>
      </c>
      <c r="I56" s="17">
        <f t="shared" si="1"/>
        <v>92.681635024217272</v>
      </c>
      <c r="J56" s="118"/>
      <c r="K56" s="130"/>
      <c r="L56" s="39"/>
      <c r="M56" s="172">
        <f t="shared" si="2"/>
        <v>91.591905347811291</v>
      </c>
      <c r="O56" s="114">
        <v>615</v>
      </c>
      <c r="P56" s="17">
        <v>89.35</v>
      </c>
      <c r="Q56" s="17">
        <v>-7.9</v>
      </c>
      <c r="R56" s="17">
        <v>4.4000000000000004</v>
      </c>
      <c r="U56" s="91">
        <f t="shared" si="3"/>
        <v>91.591905347811291</v>
      </c>
      <c r="V56" s="91">
        <f t="shared" si="4"/>
        <v>91.591905347811291</v>
      </c>
    </row>
    <row r="57" spans="1:22" ht="11.4">
      <c r="A57">
        <v>620</v>
      </c>
      <c r="B57" s="159">
        <v>0</v>
      </c>
      <c r="C57" s="4">
        <v>0.85450000000000004</v>
      </c>
      <c r="D57" s="4">
        <v>0.38100000000000001</v>
      </c>
      <c r="E57" s="3">
        <v>1.9000000000000001E-4</v>
      </c>
      <c r="F57" s="13"/>
      <c r="G57" s="13"/>
      <c r="H57">
        <f t="shared" si="0"/>
        <v>84476527377541.562</v>
      </c>
      <c r="I57" s="17">
        <f t="shared" si="1"/>
        <v>91.929990122299813</v>
      </c>
      <c r="J57" s="118"/>
      <c r="K57" s="130"/>
      <c r="L57" s="39"/>
      <c r="M57" s="172">
        <f t="shared" si="2"/>
        <v>90.885110473582316</v>
      </c>
      <c r="O57" s="114">
        <v>620</v>
      </c>
      <c r="P57" s="17">
        <v>88.4</v>
      </c>
      <c r="Q57" s="17">
        <v>-8.6</v>
      </c>
      <c r="R57" s="17">
        <v>4.7</v>
      </c>
      <c r="U57" s="91">
        <f t="shared" si="3"/>
        <v>90.885110473582316</v>
      </c>
      <c r="V57" s="91">
        <f t="shared" si="4"/>
        <v>90.885110473582316</v>
      </c>
    </row>
    <row r="58" spans="1:22" ht="11.4">
      <c r="A58">
        <v>625</v>
      </c>
      <c r="B58" s="159">
        <v>0</v>
      </c>
      <c r="C58" s="4">
        <v>0.75139999999999996</v>
      </c>
      <c r="D58" s="4">
        <v>0.32100000000000001</v>
      </c>
      <c r="E58" s="3">
        <v>1E-4</v>
      </c>
      <c r="F58" s="13"/>
      <c r="G58" s="13"/>
      <c r="H58">
        <f t="shared" si="0"/>
        <v>83777049008738.078</v>
      </c>
      <c r="I58" s="17">
        <f t="shared" si="1"/>
        <v>91.168795959482452</v>
      </c>
      <c r="J58" s="118"/>
      <c r="K58" s="130"/>
      <c r="L58" s="39"/>
      <c r="M58" s="172">
        <f t="shared" si="2"/>
        <v>88.837915511677338</v>
      </c>
      <c r="O58" s="114">
        <v>625</v>
      </c>
      <c r="P58" s="17">
        <v>86.2</v>
      </c>
      <c r="Q58" s="17">
        <v>-9.0500000000000007</v>
      </c>
      <c r="R58" s="17">
        <v>4.9000000000000004</v>
      </c>
      <c r="U58" s="91">
        <f t="shared" si="3"/>
        <v>88.837915511677338</v>
      </c>
      <c r="V58" s="91">
        <f t="shared" si="4"/>
        <v>88.837915511677323</v>
      </c>
    </row>
    <row r="59" spans="1:22" ht="11.4">
      <c r="A59">
        <v>630</v>
      </c>
      <c r="B59" s="159">
        <v>0</v>
      </c>
      <c r="C59" s="4">
        <v>0.64239999999999997</v>
      </c>
      <c r="D59" s="4">
        <v>0.26500000000000001</v>
      </c>
      <c r="E59" s="3">
        <v>5.0000000000000001E-4</v>
      </c>
      <c r="F59" s="13"/>
      <c r="G59" s="13"/>
      <c r="H59">
        <f t="shared" si="0"/>
        <v>83069673763260.672</v>
      </c>
      <c r="I59" s="17">
        <f t="shared" si="1"/>
        <v>90.399008169332518</v>
      </c>
      <c r="J59" s="118"/>
      <c r="K59" s="130"/>
      <c r="L59" s="39"/>
      <c r="M59" s="172">
        <f t="shared" si="2"/>
        <v>86.790720549772345</v>
      </c>
      <c r="O59" s="114">
        <v>630</v>
      </c>
      <c r="P59" s="17">
        <v>84</v>
      </c>
      <c r="Q59" s="17">
        <v>-9.5</v>
      </c>
      <c r="R59" s="17">
        <v>5.0999999999999996</v>
      </c>
      <c r="U59" s="91">
        <f t="shared" si="3"/>
        <v>86.790720549772345</v>
      </c>
      <c r="V59" s="91">
        <f t="shared" si="4"/>
        <v>86.790720549772345</v>
      </c>
    </row>
    <row r="60" spans="1:22" ht="11.4">
      <c r="A60">
        <v>635</v>
      </c>
      <c r="B60" s="159">
        <v>0</v>
      </c>
      <c r="C60" s="4">
        <v>0.54190000000000005</v>
      </c>
      <c r="D60" s="4">
        <v>0.217</v>
      </c>
      <c r="E60" s="3">
        <v>2.9999999999999997E-4</v>
      </c>
      <c r="F60" s="13"/>
      <c r="G60" s="13"/>
      <c r="H60">
        <f t="shared" si="0"/>
        <v>82355240644454.187</v>
      </c>
      <c r="I60" s="17">
        <f t="shared" si="1"/>
        <v>89.621539781440617</v>
      </c>
      <c r="J60" s="118"/>
      <c r="K60" s="130"/>
      <c r="L60" s="39"/>
      <c r="M60" s="172">
        <f t="shared" si="2"/>
        <v>87.336047682498929</v>
      </c>
      <c r="O60" s="114">
        <v>635</v>
      </c>
      <c r="P60" s="17">
        <v>84.55</v>
      </c>
      <c r="Q60" s="17">
        <v>-10.199999999999999</v>
      </c>
      <c r="R60" s="17">
        <v>5.9</v>
      </c>
      <c r="U60" s="91">
        <f t="shared" si="3"/>
        <v>87.336047682498929</v>
      </c>
      <c r="V60" s="91">
        <f t="shared" si="4"/>
        <v>87.336047682498943</v>
      </c>
    </row>
    <row r="61" spans="1:22" ht="11.4">
      <c r="A61">
        <v>640</v>
      </c>
      <c r="B61" s="159">
        <v>0</v>
      </c>
      <c r="C61" s="4">
        <v>0.44790000000000002</v>
      </c>
      <c r="D61" s="4">
        <v>0.17499999999999999</v>
      </c>
      <c r="E61" s="3">
        <v>2.0000000000000001E-4</v>
      </c>
      <c r="F61" s="13"/>
      <c r="G61" s="13"/>
      <c r="H61">
        <f t="shared" si="0"/>
        <v>81634550642211.406</v>
      </c>
      <c r="I61" s="17">
        <f t="shared" si="1"/>
        <v>88.837262457973921</v>
      </c>
      <c r="J61" s="118"/>
      <c r="K61" s="130"/>
      <c r="L61" s="39"/>
      <c r="M61" s="172">
        <f t="shared" si="2"/>
        <v>87.881374815225513</v>
      </c>
      <c r="O61" s="114">
        <v>640</v>
      </c>
      <c r="P61" s="17">
        <v>85.1</v>
      </c>
      <c r="Q61" s="17">
        <v>-10.9</v>
      </c>
      <c r="R61" s="17">
        <v>6.7</v>
      </c>
      <c r="U61" s="91">
        <f t="shared" si="3"/>
        <v>87.881374815225513</v>
      </c>
      <c r="V61" s="91">
        <f t="shared" si="4"/>
        <v>87.881374815225513</v>
      </c>
    </row>
    <row r="62" spans="1:22" ht="11.4">
      <c r="A62">
        <v>645</v>
      </c>
      <c r="B62" s="159">
        <v>0</v>
      </c>
      <c r="C62" s="4">
        <v>0.36080000000000001</v>
      </c>
      <c r="D62" s="4">
        <v>0.13800000000000001</v>
      </c>
      <c r="E62" s="3">
        <v>1E-4</v>
      </c>
      <c r="F62" s="13"/>
      <c r="G62" s="13"/>
      <c r="H62">
        <f t="shared" si="0"/>
        <v>80908367876174.828</v>
      </c>
      <c r="I62" s="17">
        <f t="shared" si="1"/>
        <v>88.047007737744082</v>
      </c>
      <c r="J62" s="118"/>
      <c r="K62" s="130"/>
      <c r="L62" s="39"/>
      <c r="M62" s="172">
        <f t="shared" si="2"/>
        <v>86.076657744884898</v>
      </c>
      <c r="O62" s="114">
        <v>645</v>
      </c>
      <c r="P62" s="17">
        <v>83.5</v>
      </c>
      <c r="Q62" s="17">
        <v>-10.8</v>
      </c>
      <c r="R62" s="17">
        <v>7</v>
      </c>
      <c r="U62" s="91">
        <f t="shared" si="3"/>
        <v>86.076657744884898</v>
      </c>
      <c r="V62" s="91">
        <f t="shared" si="4"/>
        <v>86.076657744884912</v>
      </c>
    </row>
    <row r="63" spans="1:22" ht="11.4">
      <c r="A63">
        <v>650</v>
      </c>
      <c r="B63" s="159">
        <v>0</v>
      </c>
      <c r="C63" s="4">
        <v>0.28349999999999997</v>
      </c>
      <c r="D63" s="4">
        <v>0.107</v>
      </c>
      <c r="E63" s="3">
        <v>0</v>
      </c>
      <c r="F63" s="13"/>
      <c r="G63" s="13"/>
      <c r="H63">
        <f t="shared" si="0"/>
        <v>80177420741008.125</v>
      </c>
      <c r="I63" s="17">
        <f t="shared" si="1"/>
        <v>87.251568282527288</v>
      </c>
      <c r="J63" s="118"/>
      <c r="K63" s="130"/>
      <c r="L63" s="39"/>
      <c r="M63" s="172">
        <f t="shared" si="2"/>
        <v>84.271940674544297</v>
      </c>
      <c r="O63" s="114">
        <v>650</v>
      </c>
      <c r="P63" s="17">
        <v>81.900000000000006</v>
      </c>
      <c r="Q63" s="17">
        <v>-10.7</v>
      </c>
      <c r="R63" s="17">
        <v>7.3</v>
      </c>
      <c r="U63" s="91">
        <f t="shared" si="3"/>
        <v>84.271940674544297</v>
      </c>
      <c r="V63" s="91">
        <f t="shared" si="4"/>
        <v>84.271940674544297</v>
      </c>
    </row>
    <row r="64" spans="1:22" ht="11.4">
      <c r="A64">
        <v>655</v>
      </c>
      <c r="B64" s="159">
        <v>0</v>
      </c>
      <c r="C64" s="4">
        <v>0.21870000000000001</v>
      </c>
      <c r="D64" s="4">
        <v>8.1600000000000006E-2</v>
      </c>
      <c r="E64" s="3">
        <v>0</v>
      </c>
      <c r="F64" s="13"/>
      <c r="G64" s="13"/>
      <c r="H64">
        <f t="shared" si="0"/>
        <v>79442403049443.766</v>
      </c>
      <c r="I64" s="17">
        <f t="shared" si="1"/>
        <v>86.451699120964307</v>
      </c>
      <c r="J64" s="118"/>
      <c r="K64" s="130"/>
      <c r="L64" s="39"/>
      <c r="M64" s="172">
        <f t="shared" si="2"/>
        <v>84.663636067927229</v>
      </c>
      <c r="O64" s="114">
        <v>655</v>
      </c>
      <c r="P64" s="17">
        <v>82.25</v>
      </c>
      <c r="Q64" s="17">
        <v>-11.35</v>
      </c>
      <c r="R64" s="17">
        <v>7.95</v>
      </c>
      <c r="U64" s="91">
        <f t="shared" si="3"/>
        <v>84.663636067927229</v>
      </c>
      <c r="V64" s="91">
        <f t="shared" si="4"/>
        <v>84.663636067927243</v>
      </c>
    </row>
    <row r="65" spans="1:22" ht="11.4">
      <c r="A65">
        <v>660</v>
      </c>
      <c r="B65" s="159">
        <v>0</v>
      </c>
      <c r="C65" s="4">
        <v>0.16489999999999999</v>
      </c>
      <c r="D65" s="4">
        <v>6.0999999999999999E-2</v>
      </c>
      <c r="E65" s="3">
        <v>0</v>
      </c>
      <c r="F65" s="13"/>
      <c r="G65" s="13"/>
      <c r="H65">
        <f t="shared" si="0"/>
        <v>78703975169311.578</v>
      </c>
      <c r="I65" s="17">
        <f t="shared" si="1"/>
        <v>85.648118885910392</v>
      </c>
      <c r="J65" s="118"/>
      <c r="K65" s="130"/>
      <c r="L65" s="39"/>
      <c r="M65" s="172">
        <f t="shared" si="2"/>
        <v>85.055331461310161</v>
      </c>
      <c r="O65" s="114">
        <v>660</v>
      </c>
      <c r="P65" s="17">
        <v>82.6</v>
      </c>
      <c r="Q65" s="17">
        <v>-12</v>
      </c>
      <c r="R65" s="17">
        <v>8.6</v>
      </c>
      <c r="U65" s="91">
        <f t="shared" si="3"/>
        <v>85.055331461310161</v>
      </c>
      <c r="V65" s="91">
        <f t="shared" si="4"/>
        <v>85.055331461310161</v>
      </c>
    </row>
    <row r="66" spans="1:22" ht="11.4">
      <c r="A66">
        <v>665</v>
      </c>
      <c r="B66" s="159">
        <v>0</v>
      </c>
      <c r="C66" s="4">
        <v>0.1212</v>
      </c>
      <c r="D66" s="4">
        <v>4.4580000000000002E-2</v>
      </c>
      <c r="E66" s="3">
        <v>0</v>
      </c>
      <c r="F66" s="13"/>
      <c r="G66" s="13"/>
      <c r="H66">
        <f t="shared" si="0"/>
        <v>77962765151204.547</v>
      </c>
      <c r="I66" s="17">
        <f t="shared" si="1"/>
        <v>84.841511041596419</v>
      </c>
      <c r="J66" s="118"/>
      <c r="K66" s="130"/>
      <c r="L66" s="39"/>
      <c r="M66" s="172">
        <f t="shared" si="2"/>
        <v>86.467780614796368</v>
      </c>
      <c r="O66" s="114">
        <v>665</v>
      </c>
      <c r="P66" s="17">
        <v>83.75</v>
      </c>
      <c r="Q66" s="17">
        <v>-13</v>
      </c>
      <c r="R66" s="17">
        <v>9.1999999999999993</v>
      </c>
      <c r="U66" s="91">
        <f t="shared" si="3"/>
        <v>86.467780614796368</v>
      </c>
      <c r="V66" s="91">
        <f t="shared" si="4"/>
        <v>86.467780614796368</v>
      </c>
    </row>
    <row r="67" spans="1:22" ht="11.4">
      <c r="A67">
        <v>670</v>
      </c>
      <c r="B67" s="159">
        <v>0</v>
      </c>
      <c r="C67" s="4">
        <v>8.7400000000000005E-2</v>
      </c>
      <c r="D67" s="4">
        <v>3.2000000000000001E-2</v>
      </c>
      <c r="E67" s="3">
        <v>0</v>
      </c>
      <c r="F67" s="13"/>
      <c r="G67" s="13"/>
      <c r="H67">
        <f t="shared" si="0"/>
        <v>77219369843858.141</v>
      </c>
      <c r="I67" s="17">
        <f t="shared" si="1"/>
        <v>84.032525097419366</v>
      </c>
      <c r="J67" s="118"/>
      <c r="K67" s="130"/>
      <c r="L67" s="39"/>
      <c r="M67" s="172">
        <f t="shared" si="2"/>
        <v>87.880229768282589</v>
      </c>
      <c r="O67" s="114">
        <v>670</v>
      </c>
      <c r="P67" s="17">
        <v>84.9</v>
      </c>
      <c r="Q67" s="17">
        <v>-14</v>
      </c>
      <c r="R67" s="17">
        <v>9.8000000000000007</v>
      </c>
      <c r="U67" s="91">
        <f t="shared" si="3"/>
        <v>87.880229768282589</v>
      </c>
      <c r="V67" s="91">
        <f t="shared" si="4"/>
        <v>87.880229768282589</v>
      </c>
    </row>
    <row r="68" spans="1:22" ht="11.4">
      <c r="A68">
        <v>675</v>
      </c>
      <c r="B68" s="159">
        <v>0</v>
      </c>
      <c r="C68" s="4">
        <v>6.3600000000000004E-2</v>
      </c>
      <c r="D68" s="4">
        <v>2.3199999999999998E-2</v>
      </c>
      <c r="E68" s="3">
        <v>0</v>
      </c>
      <c r="F68" s="13"/>
      <c r="G68" s="13"/>
      <c r="H68">
        <f t="shared" si="0"/>
        <v>76474355994695</v>
      </c>
      <c r="I68" s="17">
        <f t="shared" si="1"/>
        <v>83.221777805589369</v>
      </c>
      <c r="J68" s="118"/>
      <c r="K68" s="130"/>
      <c r="L68" s="39"/>
      <c r="M68" s="172">
        <f t="shared" si="2"/>
        <v>85.869098022036908</v>
      </c>
      <c r="O68" s="114">
        <v>675</v>
      </c>
      <c r="P68" s="17">
        <v>83.1</v>
      </c>
      <c r="Q68" s="17">
        <v>-13.8</v>
      </c>
      <c r="R68" s="17">
        <v>10</v>
      </c>
      <c r="U68" s="91">
        <f t="shared" si="3"/>
        <v>85.869098022036908</v>
      </c>
      <c r="V68" s="91">
        <f t="shared" si="4"/>
        <v>85.869098022036908</v>
      </c>
    </row>
    <row r="69" spans="1:22" ht="11.4">
      <c r="A69">
        <v>680</v>
      </c>
      <c r="B69" s="159">
        <v>0</v>
      </c>
      <c r="C69" s="4">
        <v>4.6769999999999999E-2</v>
      </c>
      <c r="D69" s="4">
        <v>1.7000000000000001E-2</v>
      </c>
      <c r="E69" s="3">
        <v>0</v>
      </c>
      <c r="F69" s="13"/>
      <c r="G69" s="13"/>
      <c r="H69">
        <f t="shared" ref="H69:H99" si="5">$H$2/((A69*0.000000001)^5)/(EXP($H$3/(A69*0.000000001*$H$1))-1)</f>
        <v>75728261333335.687</v>
      </c>
      <c r="I69" s="17">
        <f t="shared" si="1"/>
        <v>82.409854340239917</v>
      </c>
      <c r="J69" s="118"/>
      <c r="K69" s="130"/>
      <c r="L69" s="39"/>
      <c r="M69" s="172">
        <f t="shared" si="2"/>
        <v>83.857966275791227</v>
      </c>
      <c r="O69" s="114">
        <v>680</v>
      </c>
      <c r="P69" s="17">
        <v>81.3</v>
      </c>
      <c r="Q69" s="17">
        <v>-13.6</v>
      </c>
      <c r="R69" s="17">
        <v>10.199999999999999</v>
      </c>
      <c r="U69" s="91">
        <f t="shared" si="3"/>
        <v>83.857966275791227</v>
      </c>
      <c r="V69" s="91">
        <f t="shared" si="4"/>
        <v>83.857966275791227</v>
      </c>
    </row>
    <row r="70" spans="1:22" ht="11.4">
      <c r="A70">
        <v>685</v>
      </c>
      <c r="B70" s="159">
        <v>0</v>
      </c>
      <c r="C70" s="4">
        <v>3.2899999999999999E-2</v>
      </c>
      <c r="D70" s="4">
        <v>1.192E-2</v>
      </c>
      <c r="E70" s="3">
        <v>0</v>
      </c>
      <c r="F70" s="13"/>
      <c r="G70" s="13"/>
      <c r="H70">
        <f t="shared" si="5"/>
        <v>74981595636188.906</v>
      </c>
      <c r="I70" s="17">
        <f t="shared" ref="I70:I99" si="6">100*H70/$H$45</f>
        <v>81.597309455948036</v>
      </c>
      <c r="J70" s="118"/>
      <c r="K70" s="130"/>
      <c r="L70" s="39"/>
      <c r="M70" s="172">
        <f t="shared" ref="M70:M99" si="7">IF($H$1&lt;5000,H70,U70)</f>
        <v>79.181012266464009</v>
      </c>
      <c r="O70" s="114">
        <v>685</v>
      </c>
      <c r="P70" s="17">
        <v>76.599999999999994</v>
      </c>
      <c r="Q70" s="17">
        <v>-12.8</v>
      </c>
      <c r="R70" s="17">
        <v>9.25</v>
      </c>
      <c r="U70" s="91">
        <f t="shared" ref="U70:U99" si="8">P70+Q70*T$15+R70*T$16</f>
        <v>79.181012266464009</v>
      </c>
      <c r="V70" s="91">
        <f t="shared" ref="V70:V99" si="9">100*U70/$U$45</f>
        <v>79.181012266464009</v>
      </c>
    </row>
    <row r="71" spans="1:22" ht="11.4">
      <c r="A71">
        <v>690</v>
      </c>
      <c r="B71" s="159">
        <v>0</v>
      </c>
      <c r="C71" s="4">
        <v>2.2700000000000001E-2</v>
      </c>
      <c r="D71" s="4">
        <v>8.2100000000000003E-3</v>
      </c>
      <c r="E71" s="3">
        <v>0</v>
      </c>
      <c r="F71" s="13"/>
      <c r="G71" s="13"/>
      <c r="H71">
        <f t="shared" si="5"/>
        <v>74234841770518.859</v>
      </c>
      <c r="I71" s="17">
        <f t="shared" si="6"/>
        <v>80.78466862392105</v>
      </c>
      <c r="J71" s="118"/>
      <c r="K71" s="130"/>
      <c r="L71" s="39"/>
      <c r="M71" s="172">
        <f t="shared" si="7"/>
        <v>74.504058257136819</v>
      </c>
      <c r="O71" s="114">
        <v>690</v>
      </c>
      <c r="P71" s="17">
        <v>71.900000000000006</v>
      </c>
      <c r="Q71" s="17">
        <v>-12</v>
      </c>
      <c r="R71" s="17">
        <v>8.3000000000000007</v>
      </c>
      <c r="U71" s="91">
        <f t="shared" si="8"/>
        <v>74.504058257136819</v>
      </c>
      <c r="V71" s="91">
        <f t="shared" si="9"/>
        <v>74.504058257136819</v>
      </c>
    </row>
    <row r="72" spans="1:22" ht="11.4">
      <c r="A72">
        <v>695</v>
      </c>
      <c r="B72" s="159">
        <v>0</v>
      </c>
      <c r="C72" s="4">
        <v>1.584E-2</v>
      </c>
      <c r="D72" s="4">
        <v>5.7229999999999998E-3</v>
      </c>
      <c r="E72" s="3">
        <v>0</v>
      </c>
      <c r="F72" s="13"/>
      <c r="G72" s="13"/>
      <c r="H72">
        <f t="shared" si="5"/>
        <v>73488456716648.859</v>
      </c>
      <c r="I72" s="17">
        <f t="shared" si="6"/>
        <v>79.972429144390276</v>
      </c>
      <c r="J72" s="118"/>
      <c r="K72" s="130"/>
      <c r="L72" s="39"/>
      <c r="M72" s="172">
        <f t="shared" si="7"/>
        <v>75.745753650519745</v>
      </c>
      <c r="O72" s="114">
        <v>695</v>
      </c>
      <c r="P72" s="17">
        <v>73.099999999999994</v>
      </c>
      <c r="Q72" s="17">
        <v>-12.65</v>
      </c>
      <c r="R72" s="17">
        <v>8.9499999999999993</v>
      </c>
      <c r="U72" s="91">
        <f t="shared" si="8"/>
        <v>75.745753650519745</v>
      </c>
      <c r="V72" s="91">
        <f t="shared" si="9"/>
        <v>75.745753650519745</v>
      </c>
    </row>
    <row r="73" spans="1:22" ht="11.4">
      <c r="A73">
        <v>700</v>
      </c>
      <c r="B73" s="159">
        <v>0</v>
      </c>
      <c r="C73" s="4">
        <v>1.1358999999999999E-2</v>
      </c>
      <c r="D73" s="4">
        <v>4.1019999999999997E-3</v>
      </c>
      <c r="E73" s="3">
        <v>0</v>
      </c>
      <c r="F73" s="13"/>
      <c r="G73" s="13"/>
      <c r="H73">
        <f t="shared" si="5"/>
        <v>72742872567190.937</v>
      </c>
      <c r="I73" s="17">
        <f t="shared" si="6"/>
        <v>79.161061234003938</v>
      </c>
      <c r="J73" s="118"/>
      <c r="K73" s="130"/>
      <c r="L73" s="39"/>
      <c r="M73" s="172">
        <f t="shared" si="7"/>
        <v>76.987449043902686</v>
      </c>
      <c r="O73" s="114">
        <v>700</v>
      </c>
      <c r="P73" s="17">
        <v>74.3</v>
      </c>
      <c r="Q73" s="17">
        <v>-13.3</v>
      </c>
      <c r="R73" s="17">
        <v>9.6</v>
      </c>
      <c r="U73" s="91">
        <f t="shared" si="8"/>
        <v>76.987449043902686</v>
      </c>
      <c r="V73" s="91">
        <f t="shared" si="9"/>
        <v>76.987449043902686</v>
      </c>
    </row>
    <row r="74" spans="1:22" ht="11.4">
      <c r="A74">
        <v>705</v>
      </c>
      <c r="B74" s="159">
        <v>0</v>
      </c>
      <c r="C74" s="4">
        <v>8.1110000000000002E-3</v>
      </c>
      <c r="D74" s="4">
        <v>2.9290000000000002E-3</v>
      </c>
      <c r="E74" s="3">
        <v>0</v>
      </c>
      <c r="F74" s="13"/>
      <c r="G74" s="13"/>
      <c r="H74">
        <f t="shared" si="5"/>
        <v>71998497502403.547</v>
      </c>
      <c r="I74" s="17">
        <f t="shared" si="6"/>
        <v>78.351009087241763</v>
      </c>
      <c r="J74" s="118"/>
      <c r="K74" s="130"/>
      <c r="L74" s="39"/>
      <c r="M74" s="172">
        <f t="shared" si="7"/>
        <v>78.198134287223652</v>
      </c>
      <c r="O74" s="114">
        <v>705</v>
      </c>
      <c r="P74" s="17">
        <v>75.349999999999994</v>
      </c>
      <c r="Q74" s="17">
        <v>-13.1</v>
      </c>
      <c r="R74" s="17">
        <v>9.0500000000000007</v>
      </c>
      <c r="U74" s="91">
        <f t="shared" si="8"/>
        <v>78.198134287223652</v>
      </c>
      <c r="V74" s="91">
        <f t="shared" si="9"/>
        <v>78.198134287223652</v>
      </c>
    </row>
    <row r="75" spans="1:22" ht="11.4">
      <c r="A75">
        <v>710</v>
      </c>
      <c r="B75" s="159">
        <v>0</v>
      </c>
      <c r="C75" s="4">
        <v>5.79E-3</v>
      </c>
      <c r="D75" s="4">
        <v>2.091E-3</v>
      </c>
      <c r="E75" s="3">
        <v>0</v>
      </c>
      <c r="F75" s="13"/>
      <c r="G75" s="13"/>
      <c r="H75">
        <f t="shared" si="5"/>
        <v>71255716740968.906</v>
      </c>
      <c r="I75" s="17">
        <f t="shared" si="6"/>
        <v>77.542691911080539</v>
      </c>
      <c r="J75" s="118"/>
      <c r="K75" s="130"/>
      <c r="L75" s="39"/>
      <c r="M75" s="172">
        <f t="shared" si="7"/>
        <v>79.408819530544633</v>
      </c>
      <c r="O75" s="114">
        <v>710</v>
      </c>
      <c r="P75" s="17">
        <v>76.400000000000006</v>
      </c>
      <c r="Q75" s="17">
        <v>-12.9</v>
      </c>
      <c r="R75" s="17">
        <v>8.5</v>
      </c>
      <c r="U75" s="91">
        <f t="shared" si="8"/>
        <v>79.408819530544633</v>
      </c>
      <c r="V75" s="91">
        <f t="shared" si="9"/>
        <v>79.408819530544633</v>
      </c>
    </row>
    <row r="76" spans="1:22" ht="11.4">
      <c r="A76">
        <v>715</v>
      </c>
      <c r="B76" s="159">
        <v>0</v>
      </c>
      <c r="C76" s="4">
        <v>4.1089999999999998E-3</v>
      </c>
      <c r="D76" s="4">
        <v>1.4840000000000001E-3</v>
      </c>
      <c r="E76" s="3">
        <v>0</v>
      </c>
      <c r="F76" s="13"/>
      <c r="G76" s="13"/>
      <c r="H76">
        <f t="shared" si="5"/>
        <v>70514893465651.406</v>
      </c>
      <c r="I76" s="17">
        <f t="shared" si="6"/>
        <v>76.736504932324436</v>
      </c>
      <c r="J76" s="118"/>
      <c r="K76" s="130"/>
      <c r="L76" s="39"/>
      <c r="M76" s="172">
        <f t="shared" si="7"/>
        <v>72.586748363200797</v>
      </c>
      <c r="O76" s="114">
        <v>715</v>
      </c>
      <c r="P76" s="17">
        <v>69.849999999999994</v>
      </c>
      <c r="Q76" s="17">
        <v>-11.75</v>
      </c>
      <c r="R76" s="17">
        <v>7.75</v>
      </c>
      <c r="U76" s="91">
        <f t="shared" si="8"/>
        <v>72.586748363200797</v>
      </c>
      <c r="V76" s="91">
        <f t="shared" si="9"/>
        <v>72.586748363200797</v>
      </c>
    </row>
    <row r="77" spans="1:22" ht="11.4">
      <c r="A77">
        <v>720</v>
      </c>
      <c r="B77" s="159">
        <v>0</v>
      </c>
      <c r="C77" s="4">
        <v>2.8990000000000001E-3</v>
      </c>
      <c r="D77" s="4">
        <v>1.047E-3</v>
      </c>
      <c r="E77" s="3">
        <v>0</v>
      </c>
      <c r="F77" s="13"/>
      <c r="G77" s="13"/>
      <c r="H77">
        <f t="shared" si="5"/>
        <v>69776369723451.508</v>
      </c>
      <c r="I77" s="17">
        <f t="shared" si="6"/>
        <v>75.932820377180533</v>
      </c>
      <c r="J77" s="118"/>
      <c r="K77" s="130"/>
      <c r="L77" s="39"/>
      <c r="M77" s="172">
        <f t="shared" si="7"/>
        <v>65.76467719585699</v>
      </c>
      <c r="O77" s="114">
        <v>720</v>
      </c>
      <c r="P77" s="17">
        <v>63.3</v>
      </c>
      <c r="Q77" s="17">
        <v>-10.6</v>
      </c>
      <c r="R77" s="17">
        <v>7</v>
      </c>
      <c r="U77" s="91">
        <f t="shared" si="8"/>
        <v>65.76467719585699</v>
      </c>
      <c r="V77" s="91">
        <f t="shared" si="9"/>
        <v>65.76467719585699</v>
      </c>
    </row>
    <row r="78" spans="1:22" ht="11.4">
      <c r="A78">
        <v>725</v>
      </c>
      <c r="B78" s="159">
        <v>0</v>
      </c>
      <c r="C78" s="4">
        <v>2.049E-3</v>
      </c>
      <c r="D78" s="4">
        <v>7.3999999999999999E-4</v>
      </c>
      <c r="E78" s="3">
        <v>0</v>
      </c>
      <c r="F78" s="13"/>
      <c r="G78" s="13"/>
      <c r="H78">
        <f t="shared" si="5"/>
        <v>69040467300005.312</v>
      </c>
      <c r="I78" s="17">
        <f t="shared" si="6"/>
        <v>75.131988422807723</v>
      </c>
      <c r="J78" s="118"/>
      <c r="K78" s="130"/>
      <c r="L78" s="39"/>
      <c r="M78" s="172">
        <f t="shared" si="7"/>
        <v>70.095901772600101</v>
      </c>
      <c r="O78" s="114">
        <v>725</v>
      </c>
      <c r="P78" s="17">
        <v>67.5</v>
      </c>
      <c r="Q78" s="17">
        <v>-11.1</v>
      </c>
      <c r="R78" s="17">
        <v>7.3</v>
      </c>
      <c r="U78" s="91">
        <f t="shared" si="8"/>
        <v>70.095901772600101</v>
      </c>
      <c r="V78" s="91">
        <f t="shared" si="9"/>
        <v>70.095901772600101</v>
      </c>
    </row>
    <row r="79" spans="1:22" ht="11.4">
      <c r="A79">
        <v>730</v>
      </c>
      <c r="B79" s="159">
        <v>0</v>
      </c>
      <c r="C79" s="4">
        <v>1.4400000000000001E-3</v>
      </c>
      <c r="D79" s="4">
        <v>5.1999999999999995E-4</v>
      </c>
      <c r="E79" s="3">
        <v>0</v>
      </c>
      <c r="F79" s="13"/>
      <c r="G79" s="13"/>
      <c r="H79">
        <f t="shared" si="5"/>
        <v>68307488568101.977</v>
      </c>
      <c r="I79" s="17">
        <f t="shared" si="6"/>
        <v>74.334338120699741</v>
      </c>
      <c r="J79" s="118"/>
      <c r="K79" s="130"/>
      <c r="L79" s="39"/>
      <c r="M79" s="172">
        <f t="shared" si="7"/>
        <v>74.427126349343212</v>
      </c>
      <c r="O79" s="114">
        <v>730</v>
      </c>
      <c r="P79" s="17">
        <v>71.7</v>
      </c>
      <c r="Q79" s="17">
        <v>-11.6</v>
      </c>
      <c r="R79" s="17">
        <v>7.6</v>
      </c>
      <c r="U79" s="91">
        <f t="shared" si="8"/>
        <v>74.427126349343212</v>
      </c>
      <c r="V79" s="91">
        <f t="shared" si="9"/>
        <v>74.427126349343212</v>
      </c>
    </row>
    <row r="80" spans="1:22" ht="11.4">
      <c r="A80">
        <v>735</v>
      </c>
      <c r="B80" s="159">
        <v>0</v>
      </c>
      <c r="C80" s="4">
        <v>1E-3</v>
      </c>
      <c r="D80" s="4">
        <v>3.6099999999999999E-4</v>
      </c>
      <c r="E80" s="3">
        <v>0</v>
      </c>
      <c r="F80" s="13"/>
      <c r="G80" s="13"/>
      <c r="H80">
        <f t="shared" si="5"/>
        <v>67577717310297.828</v>
      </c>
      <c r="I80" s="17">
        <f t="shared" si="6"/>
        <v>73.540178291879528</v>
      </c>
      <c r="J80" s="118"/>
      <c r="K80" s="130"/>
      <c r="L80" s="39"/>
      <c r="M80" s="172">
        <f t="shared" si="7"/>
        <v>77.145945975667289</v>
      </c>
      <c r="O80" s="114">
        <v>735</v>
      </c>
      <c r="P80" s="17">
        <v>74.349999999999994</v>
      </c>
      <c r="Q80" s="17">
        <v>-11.9</v>
      </c>
      <c r="R80" s="17">
        <v>7.8</v>
      </c>
      <c r="U80" s="91">
        <f t="shared" si="8"/>
        <v>77.145945975667289</v>
      </c>
      <c r="V80" s="91">
        <f t="shared" si="9"/>
        <v>77.145945975667289</v>
      </c>
    </row>
    <row r="81" spans="1:22" ht="11.4">
      <c r="A81">
        <v>740</v>
      </c>
      <c r="B81" s="159">
        <v>0</v>
      </c>
      <c r="C81" s="4">
        <v>6.8999999999999997E-4</v>
      </c>
      <c r="D81" s="4">
        <v>2.4899999999999998E-4</v>
      </c>
      <c r="E81" s="3">
        <v>0</v>
      </c>
      <c r="F81" s="13"/>
      <c r="G81" s="13"/>
      <c r="H81">
        <f t="shared" si="5"/>
        <v>66851419515701.5</v>
      </c>
      <c r="I81" s="17">
        <f t="shared" si="6"/>
        <v>72.749798393985671</v>
      </c>
      <c r="J81" s="118"/>
      <c r="K81" s="130"/>
      <c r="L81" s="39"/>
      <c r="M81" s="172">
        <f t="shared" si="7"/>
        <v>79.86476560199138</v>
      </c>
      <c r="O81" s="114">
        <v>740</v>
      </c>
      <c r="P81" s="17">
        <v>77</v>
      </c>
      <c r="Q81" s="17">
        <v>-12.2</v>
      </c>
      <c r="R81" s="17">
        <v>8</v>
      </c>
      <c r="U81" s="91">
        <f t="shared" si="8"/>
        <v>79.86476560199138</v>
      </c>
      <c r="V81" s="91">
        <f t="shared" si="9"/>
        <v>79.86476560199138</v>
      </c>
    </row>
    <row r="82" spans="1:22" ht="11.4">
      <c r="A82">
        <v>745</v>
      </c>
      <c r="B82" s="159">
        <v>0</v>
      </c>
      <c r="C82" s="4">
        <v>4.7600000000000002E-4</v>
      </c>
      <c r="D82" s="4">
        <v>1.719E-4</v>
      </c>
      <c r="E82" s="3">
        <v>0</v>
      </c>
      <c r="F82" s="13"/>
      <c r="G82" s="13"/>
      <c r="H82">
        <f t="shared" si="5"/>
        <v>66128844151088.914</v>
      </c>
      <c r="I82" s="17">
        <f t="shared" si="6"/>
        <v>71.963469360423716</v>
      </c>
      <c r="J82" s="118"/>
      <c r="K82" s="130"/>
      <c r="L82" s="39"/>
      <c r="M82" s="172">
        <f t="shared" si="7"/>
        <v>73.727104247809592</v>
      </c>
      <c r="O82" s="114">
        <v>745</v>
      </c>
      <c r="P82" s="17">
        <v>71.099999999999994</v>
      </c>
      <c r="Q82" s="17">
        <v>-11.2</v>
      </c>
      <c r="R82" s="17">
        <v>7.35</v>
      </c>
      <c r="U82" s="91">
        <f t="shared" si="8"/>
        <v>73.727104247809592</v>
      </c>
      <c r="V82" s="91">
        <f t="shared" si="9"/>
        <v>73.727104247809592</v>
      </c>
    </row>
    <row r="83" spans="1:22" ht="11.4">
      <c r="A83">
        <v>750</v>
      </c>
      <c r="B83" s="159">
        <v>0</v>
      </c>
      <c r="C83" s="4">
        <v>3.3199999999999999E-4</v>
      </c>
      <c r="D83" s="4">
        <v>1.2E-4</v>
      </c>
      <c r="E83" s="3">
        <v>0</v>
      </c>
      <c r="F83" s="13"/>
      <c r="G83" s="13"/>
      <c r="H83">
        <f t="shared" si="5"/>
        <v>65410223906578.422</v>
      </c>
      <c r="I83" s="17">
        <f t="shared" si="6"/>
        <v>71.181444411833127</v>
      </c>
      <c r="J83" s="118"/>
      <c r="K83" s="130"/>
      <c r="L83" s="39"/>
      <c r="M83" s="172">
        <f t="shared" si="7"/>
        <v>67.589442893627847</v>
      </c>
      <c r="O83" s="114">
        <v>750</v>
      </c>
      <c r="P83" s="17">
        <v>65.2</v>
      </c>
      <c r="Q83" s="17">
        <v>-10.199999999999999</v>
      </c>
      <c r="R83" s="17">
        <v>6.7</v>
      </c>
      <c r="U83" s="91">
        <f t="shared" si="8"/>
        <v>67.589442893627847</v>
      </c>
      <c r="V83" s="91">
        <f t="shared" si="9"/>
        <v>67.589442893627847</v>
      </c>
    </row>
    <row r="84" spans="1:22" ht="11.4">
      <c r="A84">
        <v>755</v>
      </c>
      <c r="B84" s="159">
        <v>0</v>
      </c>
      <c r="C84" s="4">
        <v>2.3499999999999999E-4</v>
      </c>
      <c r="D84" s="4">
        <v>8.4800000000000001E-5</v>
      </c>
      <c r="E84" s="3">
        <v>0</v>
      </c>
      <c r="F84" s="13"/>
      <c r="G84" s="13"/>
      <c r="H84">
        <f t="shared" si="5"/>
        <v>64695775916162.484</v>
      </c>
      <c r="I84" s="17">
        <f t="shared" si="6"/>
        <v>70.403959840192272</v>
      </c>
      <c r="J84" s="118"/>
      <c r="K84" s="130"/>
      <c r="L84" s="39"/>
      <c r="M84" s="172">
        <f t="shared" si="7"/>
        <v>58.539376589027057</v>
      </c>
      <c r="O84" s="114">
        <v>755</v>
      </c>
      <c r="P84" s="17">
        <v>56.45</v>
      </c>
      <c r="Q84" s="17">
        <v>-9</v>
      </c>
      <c r="R84" s="17">
        <v>5.95</v>
      </c>
      <c r="U84" s="91">
        <f t="shared" si="8"/>
        <v>58.539376589027057</v>
      </c>
      <c r="V84" s="91">
        <f t="shared" si="9"/>
        <v>58.539376589027057</v>
      </c>
    </row>
    <row r="85" spans="1:22" ht="11.4">
      <c r="A85">
        <v>760</v>
      </c>
      <c r="B85" s="159">
        <v>0</v>
      </c>
      <c r="C85" s="4">
        <v>1.66E-4</v>
      </c>
      <c r="D85" s="4">
        <v>6.0000000000000002E-5</v>
      </c>
      <c r="E85" s="3">
        <v>0</v>
      </c>
      <c r="F85" s="13"/>
      <c r="G85" s="13"/>
      <c r="H85">
        <f t="shared" si="5"/>
        <v>63985702453445.641</v>
      </c>
      <c r="I85" s="17">
        <f t="shared" si="6"/>
        <v>69.631235765942264</v>
      </c>
      <c r="J85" s="118"/>
      <c r="K85" s="130"/>
      <c r="L85" s="39"/>
      <c r="M85" s="172">
        <f t="shared" si="7"/>
        <v>49.489310284426267</v>
      </c>
      <c r="O85" s="114">
        <v>760</v>
      </c>
      <c r="P85" s="17">
        <v>47.7</v>
      </c>
      <c r="Q85" s="17">
        <v>-7.8</v>
      </c>
      <c r="R85" s="17">
        <v>5.2</v>
      </c>
      <c r="U85" s="91">
        <f t="shared" si="8"/>
        <v>49.489310284426267</v>
      </c>
      <c r="V85" s="91">
        <f t="shared" si="9"/>
        <v>49.489310284426267</v>
      </c>
    </row>
    <row r="86" spans="1:22" ht="11.4">
      <c r="A86">
        <v>765</v>
      </c>
      <c r="B86" s="159">
        <v>0</v>
      </c>
      <c r="C86" s="4">
        <v>1.7699999999999999E-4</v>
      </c>
      <c r="D86" s="4">
        <v>4.2400000000000001E-5</v>
      </c>
      <c r="E86" s="3">
        <v>0</v>
      </c>
      <c r="F86" s="13"/>
      <c r="G86" s="13"/>
      <c r="H86">
        <f t="shared" si="5"/>
        <v>63280191602987.711</v>
      </c>
      <c r="I86" s="17">
        <f t="shared" si="6"/>
        <v>68.863476868563453</v>
      </c>
      <c r="J86" s="118"/>
      <c r="K86" s="130"/>
      <c r="L86" s="39"/>
      <c r="M86" s="172">
        <f t="shared" si="7"/>
        <v>60.345813366465713</v>
      </c>
      <c r="O86" s="114">
        <v>765</v>
      </c>
      <c r="P86" s="17">
        <v>58.15</v>
      </c>
      <c r="Q86" s="17">
        <v>-9.5</v>
      </c>
      <c r="R86" s="17">
        <v>6.3</v>
      </c>
      <c r="U86" s="91">
        <f t="shared" si="8"/>
        <v>60.345813366465713</v>
      </c>
      <c r="V86" s="91">
        <f t="shared" si="9"/>
        <v>60.345813366465705</v>
      </c>
    </row>
    <row r="87" spans="1:22" ht="11.4">
      <c r="A87">
        <v>770</v>
      </c>
      <c r="B87" s="159">
        <v>0</v>
      </c>
      <c r="C87" s="4">
        <v>8.2999999999999998E-5</v>
      </c>
      <c r="D87" s="4">
        <v>3.0000000000000001E-5</v>
      </c>
      <c r="E87" s="3">
        <v>0</v>
      </c>
      <c r="F87" s="13"/>
      <c r="G87" s="13"/>
      <c r="H87">
        <f t="shared" si="5"/>
        <v>62579417907690.367</v>
      </c>
      <c r="I87" s="17">
        <f t="shared" si="6"/>
        <v>68.100873091081723</v>
      </c>
      <c r="J87" s="118"/>
      <c r="K87" s="130"/>
      <c r="L87" s="39"/>
      <c r="M87" s="172">
        <f t="shared" si="7"/>
        <v>71.202316448505158</v>
      </c>
      <c r="O87" s="114">
        <v>770</v>
      </c>
      <c r="P87" s="17">
        <v>68.599999999999994</v>
      </c>
      <c r="Q87" s="17">
        <v>-11.2</v>
      </c>
      <c r="R87" s="17">
        <v>7.4</v>
      </c>
      <c r="U87" s="91">
        <f t="shared" si="8"/>
        <v>71.202316448505158</v>
      </c>
      <c r="V87" s="91">
        <f t="shared" si="9"/>
        <v>71.202316448505158</v>
      </c>
    </row>
    <row r="88" spans="1:22" ht="11.4">
      <c r="A88">
        <v>775</v>
      </c>
      <c r="B88" s="159">
        <v>0</v>
      </c>
      <c r="C88" s="4">
        <v>5.8999999999999998E-5</v>
      </c>
      <c r="D88" s="4">
        <v>2.0999999999999999E-5</v>
      </c>
      <c r="E88" s="3">
        <v>0</v>
      </c>
      <c r="F88" s="13"/>
      <c r="G88" s="13"/>
      <c r="H88">
        <f t="shared" si="5"/>
        <v>61883542992700.047</v>
      </c>
      <c r="I88" s="17">
        <f t="shared" si="6"/>
        <v>67.343600319019075</v>
      </c>
      <c r="J88" s="118"/>
      <c r="K88" s="130"/>
      <c r="L88" s="39"/>
      <c r="M88" s="172">
        <f t="shared" si="7"/>
        <v>69.327082146276013</v>
      </c>
      <c r="O88" s="114">
        <v>775</v>
      </c>
      <c r="P88" s="17">
        <v>66.8</v>
      </c>
      <c r="Q88" s="17">
        <v>-10.8</v>
      </c>
      <c r="R88" s="17">
        <v>7.1</v>
      </c>
      <c r="U88" s="91">
        <f t="shared" si="8"/>
        <v>69.327082146276013</v>
      </c>
      <c r="V88" s="91">
        <f t="shared" si="9"/>
        <v>69.327082146276013</v>
      </c>
    </row>
    <row r="89" spans="1:22" ht="11.4">
      <c r="A89">
        <v>780</v>
      </c>
      <c r="B89" s="159">
        <v>0</v>
      </c>
      <c r="C89" s="4">
        <v>4.1999999999999998E-5</v>
      </c>
      <c r="D89" s="4">
        <v>1.5E-5</v>
      </c>
      <c r="E89" s="3">
        <v>0</v>
      </c>
      <c r="F89" s="13"/>
      <c r="G89" s="13"/>
      <c r="H89">
        <f t="shared" si="5"/>
        <v>61192716166328.828</v>
      </c>
      <c r="I89" s="17">
        <f t="shared" si="6"/>
        <v>66.591821034334487</v>
      </c>
      <c r="J89" s="118"/>
      <c r="K89" s="130"/>
      <c r="L89" s="39"/>
      <c r="M89" s="172">
        <f t="shared" si="7"/>
        <v>67.451847844046853</v>
      </c>
      <c r="O89" s="114">
        <v>780</v>
      </c>
      <c r="P89" s="17">
        <v>65</v>
      </c>
      <c r="Q89" s="17">
        <v>-10.4</v>
      </c>
      <c r="R89" s="17">
        <v>6.8</v>
      </c>
      <c r="U89" s="91">
        <f t="shared" si="8"/>
        <v>67.451847844046853</v>
      </c>
      <c r="V89" s="91">
        <f t="shared" si="9"/>
        <v>67.451847844046853</v>
      </c>
    </row>
    <row r="90" spans="1:22">
      <c r="A90">
        <v>785</v>
      </c>
      <c r="B90" s="159">
        <v>0</v>
      </c>
      <c r="F90" s="13"/>
      <c r="G90" s="13"/>
      <c r="H90">
        <f t="shared" si="5"/>
        <v>60507074998516.773</v>
      </c>
      <c r="I90" s="17">
        <f t="shared" si="6"/>
        <v>65.845684944924628</v>
      </c>
      <c r="J90" s="118"/>
      <c r="K90" s="130"/>
      <c r="L90" s="39"/>
      <c r="M90" s="172">
        <f t="shared" si="7"/>
        <v>67.95826251995193</v>
      </c>
      <c r="O90" s="114">
        <v>785</v>
      </c>
      <c r="P90" s="17">
        <v>65.5</v>
      </c>
      <c r="Q90" s="17">
        <v>-10.5</v>
      </c>
      <c r="R90" s="17">
        <v>6.9</v>
      </c>
      <c r="U90" s="91">
        <f t="shared" si="8"/>
        <v>67.95826251995193</v>
      </c>
      <c r="V90" s="91">
        <f t="shared" si="9"/>
        <v>67.95826251995193</v>
      </c>
    </row>
    <row r="91" spans="1:22">
      <c r="A91">
        <v>790</v>
      </c>
      <c r="B91" s="159">
        <v>0</v>
      </c>
      <c r="F91" s="13"/>
      <c r="G91" s="13"/>
      <c r="H91">
        <f t="shared" si="5"/>
        <v>59826745877380.164</v>
      </c>
      <c r="I91" s="17">
        <f t="shared" si="6"/>
        <v>65.10532959027698</v>
      </c>
      <c r="J91" s="118"/>
      <c r="K91" s="130"/>
      <c r="L91" s="39"/>
      <c r="M91" s="172">
        <f t="shared" si="7"/>
        <v>68.464677195856993</v>
      </c>
      <c r="O91" s="114">
        <v>790</v>
      </c>
      <c r="P91" s="17">
        <v>66</v>
      </c>
      <c r="Q91" s="17">
        <v>-10.6</v>
      </c>
      <c r="R91" s="17">
        <v>7</v>
      </c>
      <c r="U91" s="91">
        <f t="shared" si="8"/>
        <v>68.464677195856993</v>
      </c>
      <c r="V91" s="91">
        <f t="shared" si="9"/>
        <v>68.464677195856993</v>
      </c>
    </row>
    <row r="92" spans="1:22">
      <c r="A92">
        <v>795</v>
      </c>
      <c r="B92" s="159">
        <v>0</v>
      </c>
      <c r="F92" s="13"/>
      <c r="G92" s="13"/>
      <c r="H92">
        <f t="shared" si="5"/>
        <v>59151844544402.297</v>
      </c>
      <c r="I92" s="17">
        <f t="shared" si="6"/>
        <v>64.370880923881202</v>
      </c>
      <c r="J92" s="118"/>
      <c r="K92" s="130"/>
      <c r="L92" s="39"/>
      <c r="M92" s="172">
        <f t="shared" si="7"/>
        <v>65.861447756370865</v>
      </c>
      <c r="O92" s="114">
        <v>795</v>
      </c>
      <c r="P92" s="17">
        <v>63.5</v>
      </c>
      <c r="Q92" s="17">
        <v>-10.15</v>
      </c>
      <c r="R92" s="17">
        <v>6.7</v>
      </c>
      <c r="U92" s="91">
        <f t="shared" si="8"/>
        <v>65.861447756370865</v>
      </c>
      <c r="V92" s="91">
        <f t="shared" si="9"/>
        <v>65.861447756370865</v>
      </c>
    </row>
    <row r="93" spans="1:22">
      <c r="A93">
        <v>800</v>
      </c>
      <c r="B93" s="159">
        <v>0</v>
      </c>
      <c r="F93" s="13"/>
      <c r="G93" s="13"/>
      <c r="H93">
        <f t="shared" si="5"/>
        <v>58482476608834.578</v>
      </c>
      <c r="I93" s="17">
        <f t="shared" si="6"/>
        <v>63.642453873016365</v>
      </c>
      <c r="J93" s="118"/>
      <c r="K93" s="130"/>
      <c r="L93" s="39"/>
      <c r="M93" s="172">
        <f t="shared" si="7"/>
        <v>63.258218316884729</v>
      </c>
      <c r="O93" s="114">
        <v>800</v>
      </c>
      <c r="P93" s="17">
        <v>61</v>
      </c>
      <c r="Q93" s="17">
        <v>-9.6999999999999993</v>
      </c>
      <c r="R93" s="17">
        <v>6.4</v>
      </c>
      <c r="U93" s="91">
        <f t="shared" si="8"/>
        <v>63.258218316884729</v>
      </c>
      <c r="V93" s="91">
        <f t="shared" si="9"/>
        <v>63.258218316884729</v>
      </c>
    </row>
    <row r="94" spans="1:22">
      <c r="A94">
        <v>805</v>
      </c>
      <c r="B94" s="159">
        <v>0</v>
      </c>
      <c r="F94" s="13"/>
      <c r="G94" s="13"/>
      <c r="H94">
        <f t="shared" si="5"/>
        <v>57818738041885.234</v>
      </c>
      <c r="I94" s="17">
        <f t="shared" si="6"/>
        <v>62.920152876542581</v>
      </c>
      <c r="J94" s="118"/>
      <c r="K94" s="130"/>
      <c r="L94" s="39"/>
      <c r="M94" s="172">
        <f t="shared" si="7"/>
        <v>59.239376589027053</v>
      </c>
      <c r="O94" s="114">
        <v>805</v>
      </c>
      <c r="P94" s="17">
        <v>57.15</v>
      </c>
      <c r="Q94" s="17">
        <v>-9</v>
      </c>
      <c r="R94" s="17">
        <v>5.95</v>
      </c>
      <c r="U94" s="91">
        <f t="shared" si="8"/>
        <v>59.239376589027053</v>
      </c>
      <c r="V94" s="91">
        <f t="shared" si="9"/>
        <v>59.239376589027053</v>
      </c>
    </row>
    <row r="95" spans="1:22">
      <c r="A95">
        <v>810</v>
      </c>
      <c r="B95" s="159">
        <v>0</v>
      </c>
      <c r="F95" s="13"/>
      <c r="G95" s="13"/>
      <c r="H95">
        <f t="shared" si="5"/>
        <v>57160715651273.648</v>
      </c>
      <c r="I95" s="17">
        <f t="shared" si="6"/>
        <v>62.204072401325789</v>
      </c>
      <c r="J95" s="118"/>
      <c r="K95" s="130"/>
      <c r="L95" s="39"/>
      <c r="M95" s="172">
        <f t="shared" si="7"/>
        <v>55.220534861169362</v>
      </c>
      <c r="O95" s="114">
        <v>810</v>
      </c>
      <c r="P95" s="17">
        <v>53.3</v>
      </c>
      <c r="Q95" s="17">
        <v>-8.3000000000000007</v>
      </c>
      <c r="R95" s="17">
        <v>5.5</v>
      </c>
      <c r="U95" s="91">
        <f t="shared" si="8"/>
        <v>55.220534861169362</v>
      </c>
      <c r="V95" s="91">
        <f t="shared" si="9"/>
        <v>55.220534861169362</v>
      </c>
    </row>
    <row r="96" spans="1:22">
      <c r="A96">
        <v>815</v>
      </c>
      <c r="B96" s="159">
        <v>0</v>
      </c>
      <c r="F96" s="13"/>
      <c r="G96" s="13"/>
      <c r="H96">
        <f t="shared" si="5"/>
        <v>56508487536733.836</v>
      </c>
      <c r="I96" s="17">
        <f t="shared" si="6"/>
        <v>61.49429743793079</v>
      </c>
      <c r="J96" s="118"/>
      <c r="K96" s="130"/>
      <c r="L96" s="39"/>
      <c r="M96" s="172">
        <f t="shared" si="7"/>
        <v>58.151759437912474</v>
      </c>
      <c r="O96" s="114">
        <v>815</v>
      </c>
      <c r="P96" s="17">
        <v>56.1</v>
      </c>
      <c r="Q96" s="17">
        <v>-8.8000000000000007</v>
      </c>
      <c r="R96" s="17">
        <v>5.8</v>
      </c>
      <c r="U96" s="91">
        <f t="shared" si="8"/>
        <v>58.151759437912474</v>
      </c>
      <c r="V96" s="91">
        <f t="shared" si="9"/>
        <v>58.151759437912482</v>
      </c>
    </row>
    <row r="97" spans="1:22">
      <c r="A97">
        <v>820</v>
      </c>
      <c r="B97" s="159">
        <v>0</v>
      </c>
      <c r="F97" s="13"/>
      <c r="G97" s="13"/>
      <c r="H97">
        <f t="shared" si="5"/>
        <v>55862123527047.547</v>
      </c>
      <c r="I97" s="17">
        <f t="shared" si="6"/>
        <v>60.790903976214373</v>
      </c>
      <c r="J97" s="118"/>
      <c r="K97" s="130"/>
      <c r="L97" s="39"/>
      <c r="M97" s="172">
        <f t="shared" si="7"/>
        <v>61.082984014655587</v>
      </c>
      <c r="O97" s="114">
        <v>820</v>
      </c>
      <c r="P97" s="17">
        <v>58.9</v>
      </c>
      <c r="Q97" s="17">
        <v>-9.3000000000000007</v>
      </c>
      <c r="R97" s="17">
        <v>6.1</v>
      </c>
      <c r="U97" s="91">
        <f t="shared" si="8"/>
        <v>61.082984014655587</v>
      </c>
      <c r="V97" s="91">
        <f t="shared" si="9"/>
        <v>61.082984014655587</v>
      </c>
    </row>
    <row r="98" spans="1:22">
      <c r="A98">
        <v>825</v>
      </c>
      <c r="B98" s="159">
        <v>0</v>
      </c>
      <c r="F98" s="13"/>
      <c r="G98" s="13"/>
      <c r="H98">
        <f t="shared" si="5"/>
        <v>55221685599185.914</v>
      </c>
      <c r="I98" s="17">
        <f t="shared" si="6"/>
        <v>60.093959461448264</v>
      </c>
      <c r="J98" s="118"/>
      <c r="K98" s="130"/>
      <c r="L98" s="39"/>
      <c r="M98" s="172">
        <f t="shared" si="7"/>
        <v>62.623808503722685</v>
      </c>
      <c r="O98" s="114">
        <v>825</v>
      </c>
      <c r="P98" s="17">
        <v>60.4</v>
      </c>
      <c r="Q98" s="17">
        <v>-9.5500000000000007</v>
      </c>
      <c r="R98" s="17">
        <v>6.3</v>
      </c>
      <c r="U98" s="91">
        <f t="shared" si="8"/>
        <v>62.623808503722685</v>
      </c>
      <c r="V98" s="91">
        <f t="shared" si="9"/>
        <v>62.623808503722685</v>
      </c>
    </row>
    <row r="99" spans="1:22">
      <c r="A99">
        <v>830</v>
      </c>
      <c r="B99" s="159">
        <v>0</v>
      </c>
      <c r="F99" s="13"/>
      <c r="G99" s="13"/>
      <c r="H99">
        <f t="shared" si="5"/>
        <v>54587228280134.742</v>
      </c>
      <c r="I99" s="17">
        <f t="shared" si="6"/>
        <v>59.403523231597966</v>
      </c>
      <c r="J99" s="118"/>
      <c r="K99" s="130"/>
      <c r="L99" s="39"/>
      <c r="M99" s="172">
        <f t="shared" si="7"/>
        <v>64.164632992789791</v>
      </c>
      <c r="O99" s="114">
        <v>830</v>
      </c>
      <c r="P99" s="17">
        <v>61.9</v>
      </c>
      <c r="Q99" s="17">
        <v>-9.8000000000000007</v>
      </c>
      <c r="R99" s="17">
        <v>6.5</v>
      </c>
      <c r="U99" s="91">
        <f t="shared" si="8"/>
        <v>64.164632992789791</v>
      </c>
      <c r="V99" s="91">
        <f t="shared" si="9"/>
        <v>64.164632992789791</v>
      </c>
    </row>
    <row r="100" spans="1:22">
      <c r="J100" s="118"/>
      <c r="K100" s="130"/>
      <c r="L100" s="39"/>
    </row>
    <row r="101" spans="1:22">
      <c r="H101">
        <f>SUMPRODUCT(D5:D99,H5:H99)</f>
        <v>1945852891782879.5</v>
      </c>
    </row>
  </sheetData>
  <phoneticPr fontId="0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9"/>
  <sheetViews>
    <sheetView topLeftCell="A61" workbookViewId="0">
      <selection activeCell="B29" sqref="B29"/>
    </sheetView>
  </sheetViews>
  <sheetFormatPr defaultColWidth="11.375" defaultRowHeight="13.2"/>
  <cols>
    <col min="1" max="1" width="12.375" customWidth="1"/>
    <col min="2" max="2" width="10.125" style="112" customWidth="1"/>
    <col min="3" max="3" width="8.875" customWidth="1"/>
    <col min="4" max="4" width="5.125" customWidth="1"/>
    <col min="5" max="5" width="8.25" style="1" customWidth="1"/>
    <col min="6" max="6" width="7.125" style="1" customWidth="1"/>
    <col min="7" max="19" width="7.125" customWidth="1"/>
    <col min="20" max="20" width="7.875" customWidth="1"/>
  </cols>
  <sheetData>
    <row r="1" spans="1:24" ht="17.399999999999999">
      <c r="A1" s="125" t="s">
        <v>64</v>
      </c>
    </row>
    <row r="2" spans="1:24">
      <c r="B2" s="178"/>
    </row>
    <row r="3" spans="1:24">
      <c r="B3" s="112" t="s">
        <v>118</v>
      </c>
      <c r="C3" t="s">
        <v>153</v>
      </c>
    </row>
    <row r="4" spans="1:24" ht="11.4">
      <c r="A4" t="s">
        <v>104</v>
      </c>
      <c r="B4" s="112" t="s">
        <v>120</v>
      </c>
      <c r="C4" t="s">
        <v>116</v>
      </c>
      <c r="E4" s="8" t="s">
        <v>116</v>
      </c>
      <c r="F4" s="8" t="s">
        <v>6</v>
      </c>
      <c r="G4" s="12" t="s">
        <v>7</v>
      </c>
      <c r="H4" s="12" t="s">
        <v>8</v>
      </c>
      <c r="I4" s="12" t="s">
        <v>9</v>
      </c>
      <c r="J4" s="12" t="s">
        <v>10</v>
      </c>
      <c r="K4" s="12" t="s">
        <v>11</v>
      </c>
      <c r="L4" s="12" t="s">
        <v>96</v>
      </c>
      <c r="M4" s="12" t="s">
        <v>97</v>
      </c>
      <c r="N4" s="12" t="s">
        <v>98</v>
      </c>
      <c r="O4" s="12" t="s">
        <v>99</v>
      </c>
      <c r="P4" s="12" t="s">
        <v>100</v>
      </c>
      <c r="Q4" s="12" t="s">
        <v>101</v>
      </c>
      <c r="R4" s="12" t="s">
        <v>102</v>
      </c>
      <c r="S4" s="12" t="s">
        <v>103</v>
      </c>
      <c r="T4" s="12" t="s">
        <v>40</v>
      </c>
      <c r="W4" s="18" t="s">
        <v>186</v>
      </c>
      <c r="X4" s="171"/>
    </row>
    <row r="5" spans="1:24">
      <c r="A5">
        <v>360</v>
      </c>
      <c r="B5" s="159">
        <f>Reference!B5</f>
        <v>0</v>
      </c>
      <c r="C5" s="176">
        <f>Reference!M5</f>
        <v>37.596188958426836</v>
      </c>
      <c r="D5" s="16"/>
      <c r="E5" s="9" t="s">
        <v>108</v>
      </c>
      <c r="F5" s="170">
        <f>100*SUMPRODUCT($C5:$C99,Reference!$C5:$C99,'Sample data'!B5:B99)/SUMPRODUCT($C5:$C99,Reference!$D5:$D99)</f>
        <v>33.4252625874053</v>
      </c>
      <c r="G5" s="170">
        <f>100*SUMPRODUCT($C5:$C99,Reference!$C5:$C99,'Sample data'!C5:C99)/SUMPRODUCT($C5:$C99,Reference!$D5:$D99)</f>
        <v>27.902545207533308</v>
      </c>
      <c r="H5" s="170">
        <f>100*SUMPRODUCT($C5:$C99,Reference!$C5:$C99,'Sample data'!D5:D99)/SUMPRODUCT($C5:$C99,Reference!$D5:$D99)</f>
        <v>24.24672263301624</v>
      </c>
      <c r="I5" s="170">
        <f>100*SUMPRODUCT($C5:$C99,Reference!$C5:$C99,'Sample data'!E5:E99)/SUMPRODUCT($C5:$C99,Reference!$D5:$D99)</f>
        <v>20.47970613742222</v>
      </c>
      <c r="J5" s="170">
        <f>100*SUMPRODUCT($C5:$C99,Reference!$C5:$C99,'Sample data'!F5:F99)/SUMPRODUCT($C5:$C99,Reference!$D5:$D99)</f>
        <v>24.775316376188002</v>
      </c>
      <c r="K5" s="170">
        <f>100*SUMPRODUCT($C5:$C99,Reference!$C5:$C99,'Sample data'!G5:G99)/SUMPRODUCT($C5:$C99,Reference!$D5:$D99)</f>
        <v>27.779556480287731</v>
      </c>
      <c r="L5" s="170">
        <f>100*SUMPRODUCT($C5:$C99,Reference!$C5:$C99,'Sample data'!H5:H99)/SUMPRODUCT($C5:$C99,Reference!$D5:$D99)</f>
        <v>33.166273991936706</v>
      </c>
      <c r="M5" s="170">
        <f>100*SUMPRODUCT($C5:$C99,Reference!$C5:$C99,'Sample data'!I5:I99)/SUMPRODUCT($C5:$C99,Reference!$D5:$D99)</f>
        <v>37.84320520325965</v>
      </c>
      <c r="N5" s="170">
        <f>100*SUMPRODUCT($C5:$C99,Reference!$C5:$C99,'Sample data'!J5:J99)/SUMPRODUCT($C5:$C99,Reference!$D5:$D99)</f>
        <v>21.355882205614005</v>
      </c>
      <c r="O5" s="170">
        <f>100*SUMPRODUCT($C5:$C99,Reference!$C5:$C99,'Sample data'!K5:K99)/SUMPRODUCT($C5:$C99,Reference!$D5:$D99)</f>
        <v>56.054540157220181</v>
      </c>
      <c r="P5" s="170">
        <f>100*SUMPRODUCT($C5:$C99,Reference!$C5:$C99,'Sample data'!L5:L99)/SUMPRODUCT($C5:$C99,Reference!$D5:$D99)</f>
        <v>12.105691911150251</v>
      </c>
      <c r="Q5" s="170">
        <f>100*SUMPRODUCT($C5:$C99,Reference!$C5:$C99,'Sample data'!M5:M99)/SUMPRODUCT($C5:$C99,Reference!$D5:$D99)</f>
        <v>5.9035107222015499</v>
      </c>
      <c r="R5" s="170">
        <f>100*SUMPRODUCT($C5:$C99,Reference!$C5:$C99,'Sample data'!N5:N99)/SUMPRODUCT($C5:$C99,Reference!$D5:$D99)</f>
        <v>59.653238754895064</v>
      </c>
      <c r="S5" s="170">
        <f>100*SUMPRODUCT($C5:$C99,Reference!$C5:$C99,'Sample data'!O5:O99)/SUMPRODUCT($C5:$C99,Reference!$D5:$D99)</f>
        <v>9.4315551325082705</v>
      </c>
      <c r="T5" s="170">
        <f>100*SUMPRODUCT($C5:$C99,Reference!$C5:$C99,'Sample data'!P5:P99)/SUMPRODUCT($C5:$C99,Reference!$D5:$D99)</f>
        <v>35.559218256148796</v>
      </c>
      <c r="V5" t="s">
        <v>187</v>
      </c>
      <c r="W5" s="17">
        <f>N5</f>
        <v>21.355882205614005</v>
      </c>
      <c r="X5" s="17"/>
    </row>
    <row r="6" spans="1:24">
      <c r="A6">
        <v>365</v>
      </c>
      <c r="B6" s="159">
        <f>Reference!B6</f>
        <v>0</v>
      </c>
      <c r="C6" s="176">
        <f>Reference!M6</f>
        <v>39.81610052468433</v>
      </c>
      <c r="D6" s="16"/>
      <c r="E6" s="9" t="s">
        <v>109</v>
      </c>
      <c r="F6" s="170">
        <f>100*SUMPRODUCT($C5:$C99,Reference!$D5:$D99,'Sample data'!B5:B99)/SUMPRODUCT($C5:$C99,Reference!$D5:$D99)</f>
        <v>29.975813301438571</v>
      </c>
      <c r="G6" s="170">
        <f>100*SUMPRODUCT($C5:$C99,Reference!$D5:$D99,'Sample data'!C5:C99)/SUMPRODUCT($C5:$C99,Reference!$D5:$D99)</f>
        <v>29.021002021793393</v>
      </c>
      <c r="H6" s="170">
        <f>100*SUMPRODUCT($C5:$C99,Reference!$D5:$D99,'Sample data'!D5:D99)/SUMPRODUCT($C5:$C99,Reference!$D5:$D99)</f>
        <v>30.491060504504436</v>
      </c>
      <c r="I6" s="170">
        <f>100*SUMPRODUCT($C5:$C99,Reference!$D5:$D99,'Sample data'!E5:E99)/SUMPRODUCT($C5:$C99,Reference!$D5:$D99)</f>
        <v>29.340684616274725</v>
      </c>
      <c r="J6" s="170">
        <f>100*SUMPRODUCT($C5:$C99,Reference!$D5:$D99,'Sample data'!F5:F99)/SUMPRODUCT($C5:$C99,Reference!$D5:$D99)</f>
        <v>30.659533688377039</v>
      </c>
      <c r="K6" s="170">
        <f>100*SUMPRODUCT($C5:$C99,Reference!$D5:$D99,'Sample data'!G5:G99)/SUMPRODUCT($C5:$C99,Reference!$D5:$D99)</f>
        <v>29.574986614149736</v>
      </c>
      <c r="L6" s="170">
        <f>100*SUMPRODUCT($C5:$C99,Reference!$D5:$D99,'Sample data'!H5:H99)/SUMPRODUCT($C5:$C99,Reference!$D5:$D99)</f>
        <v>29.364527885822262</v>
      </c>
      <c r="M6" s="170">
        <f>100*SUMPRODUCT($C5:$C99,Reference!$D5:$D99,'Sample data'!I5:I99)/SUMPRODUCT($C5:$C99,Reference!$D5:$D99)</f>
        <v>31.471509185575165</v>
      </c>
      <c r="N6" s="170">
        <f>100*SUMPRODUCT($C5:$C99,Reference!$D5:$D99,'Sample data'!J5:J99)/SUMPRODUCT($C5:$C99,Reference!$D5:$D99)</f>
        <v>11.575529257445316</v>
      </c>
      <c r="O6" s="170">
        <f>100*SUMPRODUCT($C5:$C99,Reference!$D5:$D99,'Sample data'!K5:K99)/SUMPRODUCT($C5:$C99,Reference!$D5:$D99)</f>
        <v>59.387932535322719</v>
      </c>
      <c r="P6" s="170">
        <f>100*SUMPRODUCT($C5:$C99,Reference!$D5:$D99,'Sample data'!L5:L99)/SUMPRODUCT($C5:$C99,Reference!$D5:$D99)</f>
        <v>20.201211538759484</v>
      </c>
      <c r="Q6" s="170">
        <f>100*SUMPRODUCT($C5:$C99,Reference!$D5:$D99,'Sample data'!M5:M99)/SUMPRODUCT($C5:$C99,Reference!$D5:$D99)</f>
        <v>6.2636265804362452</v>
      </c>
      <c r="R6" s="170">
        <f>100*SUMPRODUCT($C5:$C99,Reference!$D5:$D99,'Sample data'!N5:N99)/SUMPRODUCT($C5:$C99,Reference!$D5:$D99)</f>
        <v>57.399001235717947</v>
      </c>
      <c r="S6" s="170">
        <f>100*SUMPRODUCT($C5:$C99,Reference!$D5:$D99,'Sample data'!O5:O99)/SUMPRODUCT($C5:$C99,Reference!$D5:$D99)</f>
        <v>11.720353798777424</v>
      </c>
      <c r="T6" s="170">
        <f>100*SUMPRODUCT($C5:$C99,Reference!$D5:$D99,'Sample data'!P5:P99)/SUMPRODUCT($C5:$C99,Reference!$D5:$D99)</f>
        <v>32.849983548969156</v>
      </c>
      <c r="U6" s="20"/>
      <c r="V6" s="20" t="s">
        <v>109</v>
      </c>
      <c r="W6" s="17">
        <f>N6</f>
        <v>11.575529257445316</v>
      </c>
      <c r="X6" s="17"/>
    </row>
    <row r="7" spans="1:24">
      <c r="A7">
        <v>370</v>
      </c>
      <c r="B7" s="159">
        <f>Reference!B7</f>
        <v>0</v>
      </c>
      <c r="C7" s="176">
        <f>Reference!M7</f>
        <v>42.03601209094181</v>
      </c>
      <c r="D7" s="16"/>
      <c r="E7" s="10" t="s">
        <v>110</v>
      </c>
      <c r="F7" s="170">
        <f>100*SUMPRODUCT($C5:$C99,Reference!$E5:$E99,'Sample data'!B5:B99)/SUMPRODUCT($C5:$C99,Reference!$D5:$D99)</f>
        <v>22.509115671282654</v>
      </c>
      <c r="G7" s="170">
        <f>100*SUMPRODUCT($C5:$C99,Reference!$E5:$E99,'Sample data'!C5:C99)/SUMPRODUCT($C5:$C99,Reference!$D5:$D99)</f>
        <v>13.758481800865288</v>
      </c>
      <c r="H7" s="170">
        <f>100*SUMPRODUCT($C5:$C99,Reference!$E5:$E99,'Sample data'!D5:D99)/SUMPRODUCT($C5:$C99,Reference!$D5:$D99)</f>
        <v>9.1741934314240439</v>
      </c>
      <c r="I7" s="170">
        <f>100*SUMPRODUCT($C5:$C99,Reference!$E5:$E99,'Sample data'!E5:E99)/SUMPRODUCT($C5:$C99,Reference!$D5:$D99)</f>
        <v>19.69267806222911</v>
      </c>
      <c r="J7" s="170">
        <f>100*SUMPRODUCT($C5:$C99,Reference!$E5:$E99,'Sample data'!F5:F99)/SUMPRODUCT($C5:$C99,Reference!$D5:$D99)</f>
        <v>37.152991530627524</v>
      </c>
      <c r="K7" s="170">
        <f>100*SUMPRODUCT($C5:$C99,Reference!$E5:$E99,'Sample data'!G5:G99)/SUMPRODUCT($C5:$C99,Reference!$D5:$D99)</f>
        <v>53.103562850799264</v>
      </c>
      <c r="L7" s="170">
        <f>100*SUMPRODUCT($C5:$C99,Reference!$E5:$E99,'Sample data'!H5:H99)/SUMPRODUCT($C5:$C99,Reference!$D5:$D99)</f>
        <v>48.677782983677297</v>
      </c>
      <c r="M7" s="170">
        <f>100*SUMPRODUCT($C5:$C99,Reference!$E5:$E99,'Sample data'!I5:I99)/SUMPRODUCT($C5:$C99,Reference!$D5:$D99)</f>
        <v>41.570917482529673</v>
      </c>
      <c r="N7" s="170">
        <f>100*SUMPRODUCT($C5:$C99,Reference!$E5:$E99,'Sample data'!J5:J99)/SUMPRODUCT($C5:$C99,Reference!$D5:$D99)</f>
        <v>3.9709518086708142</v>
      </c>
      <c r="O7" s="170">
        <f>100*SUMPRODUCT($C5:$C99,Reference!$E5:$E99,'Sample data'!K5:K99)/SUMPRODUCT($C5:$C99,Reference!$D5:$D99)</f>
        <v>11.149731769513398</v>
      </c>
      <c r="P7" s="170">
        <f>100*SUMPRODUCT($C5:$C99,Reference!$E5:$E99,'Sample data'!L5:L99)/SUMPRODUCT($C5:$C99,Reference!$D5:$D99)</f>
        <v>14.201010656221033</v>
      </c>
      <c r="Q7" s="170">
        <f>100*SUMPRODUCT($C5:$C99,Reference!$E5:$E99,'Sample data'!M5:M99)/SUMPRODUCT($C5:$C99,Reference!$D5:$D99)</f>
        <v>25.475562381803318</v>
      </c>
      <c r="R7" s="170">
        <f>100*SUMPRODUCT($C5:$C99,Reference!$E5:$E99,'Sample data'!N5:N99)/SUMPRODUCT($C5:$C99,Reference!$D5:$D99)</f>
        <v>38.004845826187143</v>
      </c>
      <c r="S7" s="170">
        <f>100*SUMPRODUCT($C5:$C99,Reference!$E5:$E99,'Sample data'!O5:O99)/SUMPRODUCT($C5:$C99,Reference!$D5:$D99)</f>
        <v>4.9783889591208004</v>
      </c>
      <c r="T7" s="170">
        <f>100*SUMPRODUCT($C5:$C99,Reference!$E5:$E99,'Sample data'!P5:P99)/SUMPRODUCT($C5:$C99,Reference!$D5:$D99)</f>
        <v>22.611195456524733</v>
      </c>
      <c r="V7" t="s">
        <v>110</v>
      </c>
      <c r="W7" s="17">
        <f>N7</f>
        <v>3.9709518086708142</v>
      </c>
      <c r="X7" s="17"/>
    </row>
    <row r="8" spans="1:24" ht="11.4">
      <c r="A8">
        <v>375</v>
      </c>
      <c r="B8" s="159">
        <f>Reference!B8</f>
        <v>0</v>
      </c>
      <c r="C8" s="176">
        <f>Reference!M8</f>
        <v>41.196244222401624</v>
      </c>
      <c r="D8" s="16"/>
      <c r="E8" s="10" t="s">
        <v>111</v>
      </c>
      <c r="F8" s="11">
        <f t="shared" ref="F8:T8" si="0">F5/(F5+F6+F7)</f>
        <v>0.38907214592824818</v>
      </c>
      <c r="G8" s="11">
        <f t="shared" si="0"/>
        <v>0.39476151987112135</v>
      </c>
      <c r="H8" s="11">
        <f t="shared" si="0"/>
        <v>0.37937682316647192</v>
      </c>
      <c r="I8" s="11">
        <f t="shared" si="0"/>
        <v>0.29461663089071016</v>
      </c>
      <c r="J8" s="11">
        <f t="shared" si="0"/>
        <v>0.26758714696589719</v>
      </c>
      <c r="K8" s="11">
        <f t="shared" si="0"/>
        <v>0.25149405055035406</v>
      </c>
      <c r="L8" s="11">
        <f t="shared" si="0"/>
        <v>0.29823483531654715</v>
      </c>
      <c r="M8" s="11">
        <f t="shared" si="0"/>
        <v>0.34128141369262843</v>
      </c>
      <c r="N8" s="11">
        <f t="shared" si="0"/>
        <v>0.57871313141546543</v>
      </c>
      <c r="O8" s="11">
        <f t="shared" si="0"/>
        <v>0.44279614527150052</v>
      </c>
      <c r="P8" s="11">
        <f t="shared" si="0"/>
        <v>0.26029315964429489</v>
      </c>
      <c r="Q8" s="11">
        <f t="shared" si="0"/>
        <v>0.15683016286532853</v>
      </c>
      <c r="R8" s="11">
        <f t="shared" si="0"/>
        <v>0.38471791495794866</v>
      </c>
      <c r="S8" s="11">
        <f t="shared" si="0"/>
        <v>0.36094326869388588</v>
      </c>
      <c r="T8" s="11">
        <f t="shared" si="0"/>
        <v>0.3906730724755248</v>
      </c>
      <c r="V8" t="s">
        <v>111</v>
      </c>
      <c r="W8" s="16">
        <f>N8</f>
        <v>0.57871313141546543</v>
      </c>
      <c r="X8" s="16"/>
    </row>
    <row r="9" spans="1:24" ht="11.4">
      <c r="A9">
        <v>380</v>
      </c>
      <c r="B9" s="159">
        <f>Reference!B9</f>
        <v>0</v>
      </c>
      <c r="C9" s="176">
        <f>Reference!M9</f>
        <v>40.356476353861453</v>
      </c>
      <c r="D9" s="16"/>
      <c r="E9" s="10" t="s">
        <v>112</v>
      </c>
      <c r="F9" s="11">
        <f>F6/(F5+F6+F7)</f>
        <v>0.34892034061475935</v>
      </c>
      <c r="G9" s="11">
        <f t="shared" ref="G9:S9" si="1">G6/(G5+G6+G7)</f>
        <v>0.41058529897885371</v>
      </c>
      <c r="H9" s="11">
        <f t="shared" si="1"/>
        <v>0.47707897864201332</v>
      </c>
      <c r="I9" s="11">
        <f t="shared" si="1"/>
        <v>0.42208875418765168</v>
      </c>
      <c r="J9" s="11">
        <f t="shared" si="1"/>
        <v>0.3311399548811706</v>
      </c>
      <c r="K9" s="11">
        <f t="shared" si="1"/>
        <v>0.26774844961412353</v>
      </c>
      <c r="L9" s="11">
        <f t="shared" si="1"/>
        <v>0.2640491102589777</v>
      </c>
      <c r="M9" s="11">
        <f t="shared" si="1"/>
        <v>0.28381954139995735</v>
      </c>
      <c r="N9" s="11">
        <f t="shared" si="1"/>
        <v>0.31367989015253678</v>
      </c>
      <c r="O9" s="11">
        <f t="shared" si="1"/>
        <v>0.46912788024892293</v>
      </c>
      <c r="P9" s="11">
        <f t="shared" si="1"/>
        <v>0.43436073036215828</v>
      </c>
      <c r="Q9" s="11">
        <f t="shared" si="1"/>
        <v>0.16639684807264754</v>
      </c>
      <c r="R9" s="11">
        <f t="shared" si="1"/>
        <v>0.37017980141542733</v>
      </c>
      <c r="S9" s="11">
        <f t="shared" si="1"/>
        <v>0.44853502428230818</v>
      </c>
      <c r="T9" s="11">
        <f>T6/(T5+T6+T7)</f>
        <v>0.36090793423522677</v>
      </c>
      <c r="V9" t="s">
        <v>112</v>
      </c>
      <c r="W9" s="16">
        <f>N9</f>
        <v>0.31367989015253678</v>
      </c>
      <c r="X9" s="16"/>
    </row>
    <row r="10" spans="1:24" ht="11.4">
      <c r="A10">
        <v>385</v>
      </c>
      <c r="B10" s="159">
        <f>Reference!B10</f>
        <v>0</v>
      </c>
      <c r="C10" s="176">
        <f>Reference!M10</f>
        <v>42.982486545335611</v>
      </c>
      <c r="D10" s="16"/>
      <c r="E10" s="74" t="s">
        <v>117</v>
      </c>
      <c r="F10" s="7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V10" t="s">
        <v>130</v>
      </c>
      <c r="W10" s="16">
        <f>I30</f>
        <v>0.41287016263118442</v>
      </c>
      <c r="X10" s="16"/>
    </row>
    <row r="11" spans="1:24">
      <c r="A11">
        <v>390</v>
      </c>
      <c r="B11" s="159">
        <f>Reference!B11</f>
        <v>0</v>
      </c>
      <c r="C11" s="176">
        <f>Reference!M11</f>
        <v>45.608496736809762</v>
      </c>
      <c r="D11" s="16"/>
      <c r="E11" s="14" t="s">
        <v>108</v>
      </c>
      <c r="F11" s="169">
        <f>100*SUMPRODUCT($B5:$B99,Reference!$C5:$C99,'Sample data'!B$5:B$99)/SUMPRODUCT($B5:$B99,Reference!$D5:$D99)</f>
        <v>35.26302581187533</v>
      </c>
      <c r="G11" s="169">
        <f>100*SUMPRODUCT($B5:$B99,Reference!$C5:$C99,'Sample data'!C$5:C$99)/SUMPRODUCT($B5:$B99,Reference!$D5:$D99)</f>
        <v>28.775660864962486</v>
      </c>
      <c r="H11" s="169">
        <f>100*SUMPRODUCT($B5:$B99,Reference!$C5:$C99,'Sample data'!D$5:D$99)/SUMPRODUCT($B5:$B99,Reference!$D5:$D99)</f>
        <v>24.058280661332006</v>
      </c>
      <c r="I11" s="169">
        <f>100*SUMPRODUCT($B5:$B99,Reference!$C5:$C99,'Sample data'!E$5:E$99)/SUMPRODUCT($B5:$B99,Reference!$D5:$D99)</f>
        <v>20.90503783043248</v>
      </c>
      <c r="J11" s="169">
        <f>100*SUMPRODUCT($B5:$B99,Reference!$C5:$C99,'Sample data'!F$5:F$99)/SUMPRODUCT($B5:$B99,Reference!$D5:$D99)</f>
        <v>25.893081545598903</v>
      </c>
      <c r="K11" s="169">
        <f>100*SUMPRODUCT($B5:$B99,Reference!$C5:$C99,'Sample data'!G$5:G$99)/SUMPRODUCT($B5:$B99,Reference!$D5:$D99)</f>
        <v>29.153155649655947</v>
      </c>
      <c r="L11" s="169">
        <f>100*SUMPRODUCT($B5:$B99,Reference!$C5:$C99,'Sample data'!H$5:H$99)/SUMPRODUCT($B5:$B99,Reference!$D5:$D99)</f>
        <v>32.46815082355139</v>
      </c>
      <c r="M11" s="169">
        <f>100*SUMPRODUCT($B5:$B99,Reference!$C5:$C99,'Sample data'!I$5:I$99)/SUMPRODUCT($B5:$B99,Reference!$D5:$D99)</f>
        <v>34.026169941152659</v>
      </c>
      <c r="N11" s="169">
        <f>100*SUMPRODUCT($B5:$B99,Reference!$C5:$C99,'Sample data'!J$5:J$99)/SUMPRODUCT($B5:$B99,Reference!$D5:$D99)</f>
        <v>13.705663667216738</v>
      </c>
      <c r="O11" s="169">
        <f>100*SUMPRODUCT($B5:$B99,Reference!$C5:$C99,'Sample data'!K$5:K$99)/SUMPRODUCT($B5:$B99,Reference!$D5:$D99)</f>
        <v>56.586851200298902</v>
      </c>
      <c r="P11" s="169">
        <f>100*SUMPRODUCT($B5:$B99,Reference!$C5:$C99,'Sample data'!L$5:L$99)/SUMPRODUCT($B5:$B99,Reference!$D5:$D99)</f>
        <v>12.710408817760065</v>
      </c>
      <c r="Q11" s="169">
        <f>100*SUMPRODUCT($B5:$B99,Reference!$C5:$C99,'Sample data'!M$5:M$99)/SUMPRODUCT($B5:$B99,Reference!$D5:$D99)</f>
        <v>8.1955662110408802</v>
      </c>
      <c r="R11" s="169">
        <f>100*SUMPRODUCT($B5:$B99,Reference!$C5:$C99,'Sample data'!N$5:N$99)/SUMPRODUCT($B5:$B99,Reference!$D5:$D99)</f>
        <v>62.183703334682569</v>
      </c>
      <c r="S11" s="169">
        <f>100*SUMPRODUCT($B5:$B99,Reference!$C5:$C99,'Sample data'!O$5:O$99)/SUMPRODUCT($B5:$B99,Reference!$D5:$D99)</f>
        <v>9.3296198275056827</v>
      </c>
      <c r="T11" s="169">
        <f>100*SUMPRODUCT($B5:$B99,Reference!$C5:$C99,'Sample data'!P$5:P$99)/SUMPRODUCT($B5:$B99,Reference!$D5:$D99)</f>
        <v>37.257763801102222</v>
      </c>
      <c r="V11" t="s">
        <v>131</v>
      </c>
      <c r="W11" s="16">
        <f>J30</f>
        <v>0.33568203371672001</v>
      </c>
      <c r="X11" s="16"/>
    </row>
    <row r="12" spans="1:24">
      <c r="A12">
        <v>395</v>
      </c>
      <c r="B12" s="159">
        <f>Reference!B12</f>
        <v>0</v>
      </c>
      <c r="C12" s="176">
        <f>Reference!M12</f>
        <v>58.327024591225928</v>
      </c>
      <c r="D12" s="16"/>
      <c r="E12" s="14" t="s">
        <v>109</v>
      </c>
      <c r="F12" s="169">
        <f>100*SUMPRODUCT($B5:$B99,Reference!$D5:$D99,'Sample data'!B$5:B$99)/SUMPRODUCT($B5:$B99,Reference!$D5:$D99)</f>
        <v>30.585640003736341</v>
      </c>
      <c r="G12" s="169">
        <f>100*SUMPRODUCT($B5:$B99,Reference!$D5:$D99,'Sample data'!C$5:C$99)/SUMPRODUCT($B5:$B99,Reference!$D5:$D99)</f>
        <v>29.252834947224212</v>
      </c>
      <c r="H12" s="169">
        <f>100*SUMPRODUCT($B5:$B99,Reference!$D5:$D99,'Sample data'!D$5:D$99)/SUMPRODUCT($B5:$B99,Reference!$D5:$D99)</f>
        <v>31.740106485661805</v>
      </c>
      <c r="I12" s="169">
        <f>100*SUMPRODUCT($B5:$B99,Reference!$D5:$D99,'Sample data'!E$5:E$99)/SUMPRODUCT($B5:$B99,Reference!$D5:$D99)</f>
        <v>29.441943519008628</v>
      </c>
      <c r="J12" s="169">
        <f>100*SUMPRODUCT($B5:$B99,Reference!$D5:$D99,'Sample data'!F$5:F$99)/SUMPRODUCT($B5:$B99,Reference!$D5:$D99)</f>
        <v>30.355297817355293</v>
      </c>
      <c r="K12" s="169">
        <f>100*SUMPRODUCT($B5:$B99,Reference!$D5:$D99,'Sample data'!G$5:G$99)/SUMPRODUCT($B5:$B99,Reference!$D5:$D99)</f>
        <v>29.229769281066105</v>
      </c>
      <c r="L12" s="169">
        <f>100*SUMPRODUCT($B5:$B99,Reference!$D5:$D99,'Sample data'!H$5:H$99)/SUMPRODUCT($B5:$B99,Reference!$D5:$D99)</f>
        <v>28.50222623532709</v>
      </c>
      <c r="M12" s="169">
        <f>100*SUMPRODUCT($B5:$B99,Reference!$D5:$D99,'Sample data'!I$5:I$99)/SUMPRODUCT($B5:$B99,Reference!$D5:$D99)</f>
        <v>29.516788616620481</v>
      </c>
      <c r="N12" s="169">
        <f>100*SUMPRODUCT($B5:$B99,Reference!$D5:$D99,'Sample data'!J$5:J$99)/SUMPRODUCT($B5:$B99,Reference!$D5:$D99)</f>
        <v>9.4308434785316191</v>
      </c>
      <c r="O12" s="169">
        <f>100*SUMPRODUCT($B5:$B99,Reference!$D5:$D99,'Sample data'!K$5:K$99)/SUMPRODUCT($B5:$B99,Reference!$D5:$D99)</f>
        <v>61.195868231777567</v>
      </c>
      <c r="P12" s="169">
        <f>100*SUMPRODUCT($B5:$B99,Reference!$D5:$D99,'Sample data'!L$5:L$99)/SUMPRODUCT($B5:$B99,Reference!$D5:$D99)</f>
        <v>20.980907307656381</v>
      </c>
      <c r="Q12" s="169">
        <f>100*SUMPRODUCT($B5:$B99,Reference!$D5:$D99,'Sample data'!M$5:M$99)/SUMPRODUCT($B5:$B99,Reference!$D5:$D99)</f>
        <v>5.4536040103372052</v>
      </c>
      <c r="R12" s="169">
        <f>100*SUMPRODUCT($B5:$B99,Reference!$D5:$D99,'Sample data'!N$5:N$99)/SUMPRODUCT($B5:$B99,Reference!$D5:$D99)</f>
        <v>57.442762399975088</v>
      </c>
      <c r="S12" s="169">
        <f>100*SUMPRODUCT($B5:$B99,Reference!$D5:$D99,'Sample data'!O$5:O$99)/SUMPRODUCT($B5:$B99,Reference!$D5:$D99)</f>
        <v>12.116119189214434</v>
      </c>
      <c r="T12" s="169">
        <f>100*SUMPRODUCT($B5:$B99,Reference!$D5:$D99,'Sample data'!P$5:P$99)/SUMPRODUCT($B5:$B99,Reference!$D5:$D99)</f>
        <v>33.89473487561105</v>
      </c>
      <c r="U12" s="20"/>
    </row>
    <row r="13" spans="1:24">
      <c r="A13">
        <v>400</v>
      </c>
      <c r="B13" s="159">
        <f>Reference!B13</f>
        <v>0</v>
      </c>
      <c r="C13" s="176">
        <f>Reference!M13</f>
        <v>71.045552445642087</v>
      </c>
      <c r="D13" s="16"/>
      <c r="E13" s="75" t="s">
        <v>110</v>
      </c>
      <c r="F13" s="169">
        <f>100*SUMPRODUCT($B5:$B99,Reference!$E5:$E99,'Sample data'!B$5:B$99)/SUMPRODUCT($B5:$B99,Reference!$D5:$D99)</f>
        <v>23.31639941464022</v>
      </c>
      <c r="G13" s="169">
        <f>100*SUMPRODUCT($B5:$B99,Reference!$E5:$E99,'Sample data'!C$5:C$99)/SUMPRODUCT($B5:$B99,Reference!$D5:$D99)</f>
        <v>14.133683718902763</v>
      </c>
      <c r="H13" s="169">
        <f>100*SUMPRODUCT($B5:$B99,Reference!$E5:$E99,'Sample data'!D$5:D$99)/SUMPRODUCT($B5:$B99,Reference!$D5:$D99)</f>
        <v>8.7044493570383263</v>
      </c>
      <c r="I13" s="169">
        <f>100*SUMPRODUCT($B5:$B99,Reference!$E5:$E99,'Sample data'!E$5:E$99)/SUMPRODUCT($B5:$B99,Reference!$D5:$D99)</f>
        <v>20.043520876794219</v>
      </c>
      <c r="J13" s="169">
        <f>100*SUMPRODUCT($B5:$B99,Reference!$E5:$E99,'Sample data'!F$5:F$99)/SUMPRODUCT($B5:$B99,Reference!$D5:$D99)</f>
        <v>40.288016938070179</v>
      </c>
      <c r="K13" s="169">
        <f>100*SUMPRODUCT($B5:$B99,Reference!$E5:$E99,'Sample data'!G$5:G$99)/SUMPRODUCT($B5:$B99,Reference!$D5:$D99)</f>
        <v>58.200379861132738</v>
      </c>
      <c r="L13" s="169">
        <f>100*SUMPRODUCT($B5:$B99,Reference!$E5:$E99,'Sample data'!H$5:H$99)/SUMPRODUCT($B5:$B99,Reference!$D5:$D99)</f>
        <v>51.223314755425477</v>
      </c>
      <c r="M13" s="169">
        <f>100*SUMPRODUCT($B5:$B99,Reference!$E5:$E99,'Sample data'!I$5:I$99)/SUMPRODUCT($B5:$B99,Reference!$D5:$D99)</f>
        <v>43.413011177880868</v>
      </c>
      <c r="N13" s="169">
        <f>100*SUMPRODUCT($B5:$B99,Reference!$E5:$E99,'Sample data'!J$5:J$99)/SUMPRODUCT($B5:$B99,Reference!$D5:$D99)</f>
        <v>4.0188361303982321</v>
      </c>
      <c r="O13" s="169">
        <f>100*SUMPRODUCT($B5:$B99,Reference!$E5:$E99,'Sample data'!K$5:K$99)/SUMPRODUCT($B5:$B99,Reference!$D5:$D99)</f>
        <v>10.989559423358346</v>
      </c>
      <c r="P13" s="169">
        <f>100*SUMPRODUCT($B5:$B99,Reference!$E5:$E99,'Sample data'!L$5:L$99)/SUMPRODUCT($B5:$B99,Reference!$D5:$D99)</f>
        <v>13.336324065136843</v>
      </c>
      <c r="Q13" s="169">
        <f>100*SUMPRODUCT($B5:$B99,Reference!$E5:$E99,'Sample data'!M$5:M$99)/SUMPRODUCT($B5:$B99,Reference!$D5:$D99)</f>
        <v>36.080958993679353</v>
      </c>
      <c r="R13" s="169">
        <f>100*SUMPRODUCT($B5:$B99,Reference!$E5:$E99,'Sample data'!N$5:N$99)/SUMPRODUCT($B5:$B99,Reference!$D5:$D99)</f>
        <v>40.004473643241887</v>
      </c>
      <c r="S13" s="169">
        <f>100*SUMPRODUCT($B5:$B99,Reference!$E5:$E99,'Sample data'!O$5:O$99)/SUMPRODUCT($B5:$B99,Reference!$D5:$D99)</f>
        <v>5.1541601021265997</v>
      </c>
      <c r="T13" s="169">
        <f>100*SUMPRODUCT($B5:$B99,Reference!$E5:$E99,'Sample data'!P$5:P$99)/SUMPRODUCT($B5:$B99,Reference!$D5:$D99)</f>
        <v>25.065793193635766</v>
      </c>
    </row>
    <row r="14" spans="1:24" ht="11.4">
      <c r="A14">
        <v>405</v>
      </c>
      <c r="B14" s="159">
        <f>Reference!B14</f>
        <v>0</v>
      </c>
      <c r="C14" s="176">
        <f>Reference!M14</f>
        <v>75.084966669363098</v>
      </c>
      <c r="D14" s="16"/>
      <c r="E14" s="75" t="s">
        <v>111</v>
      </c>
      <c r="F14" s="76">
        <f t="shared" ref="F14:T14" si="2">F11/(F11+F12+F13)</f>
        <v>0.39548028951490416</v>
      </c>
      <c r="G14" s="76">
        <f t="shared" si="2"/>
        <v>0.39876374372208556</v>
      </c>
      <c r="H14" s="76">
        <f t="shared" si="2"/>
        <v>0.37298019692247331</v>
      </c>
      <c r="I14" s="76">
        <f t="shared" si="2"/>
        <v>0.29698662702027062</v>
      </c>
      <c r="J14" s="76">
        <f t="shared" si="2"/>
        <v>0.26822092534776071</v>
      </c>
      <c r="K14" s="76">
        <f t="shared" si="2"/>
        <v>0.25006286879330908</v>
      </c>
      <c r="L14" s="76">
        <f t="shared" si="2"/>
        <v>0.28939372881401088</v>
      </c>
      <c r="M14" s="76">
        <f t="shared" si="2"/>
        <v>0.31813249905778712</v>
      </c>
      <c r="N14" s="76">
        <f t="shared" si="2"/>
        <v>0.50471332760708909</v>
      </c>
      <c r="O14" s="76">
        <f t="shared" si="2"/>
        <v>0.43943348446776875</v>
      </c>
      <c r="P14" s="76">
        <f t="shared" si="2"/>
        <v>0.27027528420006236</v>
      </c>
      <c r="Q14" s="76">
        <f t="shared" si="2"/>
        <v>0.16480082276881361</v>
      </c>
      <c r="R14" s="76">
        <f t="shared" si="2"/>
        <v>0.38954668547976812</v>
      </c>
      <c r="S14" s="76">
        <f t="shared" si="2"/>
        <v>0.35073891768617294</v>
      </c>
      <c r="T14" s="76">
        <f t="shared" si="2"/>
        <v>0.38722121414611915</v>
      </c>
    </row>
    <row r="15" spans="1:24" ht="11.4">
      <c r="A15">
        <v>410</v>
      </c>
      <c r="B15" s="159">
        <f>Reference!B15</f>
        <v>0</v>
      </c>
      <c r="C15" s="176">
        <f>Reference!M15</f>
        <v>79.124380893084123</v>
      </c>
      <c r="D15" s="16"/>
      <c r="E15" s="75" t="s">
        <v>112</v>
      </c>
      <c r="F15" s="76">
        <f>F12/(F11+F12+F13)</f>
        <v>0.34302268410564968</v>
      </c>
      <c r="G15" s="76">
        <f t="shared" ref="G15:S15" si="3">G12/(G11+G12+G13)</f>
        <v>0.40537626686595962</v>
      </c>
      <c r="H15" s="76">
        <f t="shared" si="3"/>
        <v>0.4920730343955913</v>
      </c>
      <c r="I15" s="76">
        <f t="shared" si="3"/>
        <v>0.41826585388440779</v>
      </c>
      <c r="J15" s="76">
        <f t="shared" si="3"/>
        <v>0.31444407477880115</v>
      </c>
      <c r="K15" s="76">
        <f t="shared" si="3"/>
        <v>0.2507200266217558</v>
      </c>
      <c r="L15" s="76">
        <f t="shared" si="3"/>
        <v>0.25404481993962913</v>
      </c>
      <c r="M15" s="76">
        <f t="shared" si="3"/>
        <v>0.2759713991614719</v>
      </c>
      <c r="N15" s="76">
        <f t="shared" si="3"/>
        <v>0.34729236830586219</v>
      </c>
      <c r="O15" s="76">
        <f t="shared" si="3"/>
        <v>0.47522548156873595</v>
      </c>
      <c r="P15" s="76">
        <f t="shared" si="3"/>
        <v>0.44613991309457485</v>
      </c>
      <c r="Q15" s="76">
        <f t="shared" si="3"/>
        <v>0.10966398230644345</v>
      </c>
      <c r="R15" s="76">
        <f t="shared" si="3"/>
        <v>0.35984729917543712</v>
      </c>
      <c r="S15" s="76">
        <f t="shared" si="3"/>
        <v>0.45549493007775543</v>
      </c>
      <c r="T15" s="76">
        <f>T12/(T11+T12+T13)</f>
        <v>0.35226913944058669</v>
      </c>
    </row>
    <row r="16" spans="1:24">
      <c r="A16">
        <v>415</v>
      </c>
      <c r="B16" s="159">
        <f>Reference!B16</f>
        <v>0</v>
      </c>
      <c r="C16" s="176">
        <f>Reference!M16</f>
        <v>80.39583978586046</v>
      </c>
      <c r="D16" s="16"/>
      <c r="E16" s="15"/>
      <c r="F16" s="15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4">
      <c r="A17">
        <v>420</v>
      </c>
      <c r="B17" s="159">
        <f>Reference!B17</f>
        <v>0</v>
      </c>
      <c r="C17" s="176">
        <f>Reference!M17</f>
        <v>81.667298678636783</v>
      </c>
      <c r="D17" s="16"/>
      <c r="E17" s="77" t="s">
        <v>113</v>
      </c>
      <c r="F17" s="78">
        <f t="shared" ref="F17:S17" si="4">F14-F8</f>
        <v>6.4081435866559788E-3</v>
      </c>
      <c r="G17" s="78">
        <f t="shared" si="4"/>
        <v>4.002223850964215E-3</v>
      </c>
      <c r="H17" s="78">
        <f t="shared" si="4"/>
        <v>-6.3966262439986155E-3</v>
      </c>
      <c r="I17" s="78">
        <f t="shared" si="4"/>
        <v>2.3699961295604588E-3</v>
      </c>
      <c r="J17" s="78">
        <f t="shared" si="4"/>
        <v>6.3377838186351454E-4</v>
      </c>
      <c r="K17" s="78">
        <f t="shared" ref="K17:M18" si="5">K14-K8</f>
        <v>-1.4311817570449858E-3</v>
      </c>
      <c r="L17" s="78">
        <f t="shared" si="5"/>
        <v>-8.8411065025362778E-3</v>
      </c>
      <c r="M17" s="78">
        <f t="shared" si="5"/>
        <v>-2.3148914634841311E-2</v>
      </c>
      <c r="N17" s="78">
        <f t="shared" si="4"/>
        <v>-7.3999803808376341E-2</v>
      </c>
      <c r="O17" s="78">
        <f t="shared" si="4"/>
        <v>-3.3626608037317651E-3</v>
      </c>
      <c r="P17" s="78">
        <f t="shared" si="4"/>
        <v>9.9821245557674687E-3</v>
      </c>
      <c r="Q17" s="78">
        <f t="shared" si="4"/>
        <v>7.9706599034850834E-3</v>
      </c>
      <c r="R17" s="78">
        <f t="shared" si="4"/>
        <v>4.8287705218194588E-3</v>
      </c>
      <c r="S17" s="78">
        <f t="shared" si="4"/>
        <v>-1.0204351007712942E-2</v>
      </c>
      <c r="T17" s="78">
        <f>T14-T8</f>
        <v>-3.4518583294056437E-3</v>
      </c>
    </row>
    <row r="18" spans="1:24">
      <c r="A18">
        <v>425</v>
      </c>
      <c r="B18" s="159">
        <f>Reference!B18</f>
        <v>0</v>
      </c>
      <c r="C18" s="176">
        <f>Reference!M18</f>
        <v>79.144907008633396</v>
      </c>
      <c r="D18" s="16"/>
      <c r="E18" s="77" t="s">
        <v>114</v>
      </c>
      <c r="F18" s="78">
        <f t="shared" ref="F18:S18" si="6">F15-F9</f>
        <v>-5.8976565091096722E-3</v>
      </c>
      <c r="G18" s="78">
        <f t="shared" si="6"/>
        <v>-5.2090321128940853E-3</v>
      </c>
      <c r="H18" s="78">
        <f t="shared" si="6"/>
        <v>1.4994055753577984E-2</v>
      </c>
      <c r="I18" s="78">
        <f t="shared" si="6"/>
        <v>-3.8229003032438924E-3</v>
      </c>
      <c r="J18" s="78">
        <f t="shared" si="6"/>
        <v>-1.6695880102369443E-2</v>
      </c>
      <c r="K18" s="78">
        <f t="shared" si="5"/>
        <v>-1.7028422992367731E-2</v>
      </c>
      <c r="L18" s="78">
        <f t="shared" si="5"/>
        <v>-1.0004290319348574E-2</v>
      </c>
      <c r="M18" s="78">
        <f t="shared" si="5"/>
        <v>-7.848142238485456E-3</v>
      </c>
      <c r="N18" s="78">
        <f t="shared" si="6"/>
        <v>3.3612478153325409E-2</v>
      </c>
      <c r="O18" s="78">
        <f t="shared" si="6"/>
        <v>6.0976013198130175E-3</v>
      </c>
      <c r="P18" s="78">
        <f t="shared" si="6"/>
        <v>1.1779182732416571E-2</v>
      </c>
      <c r="Q18" s="78">
        <f t="shared" si="6"/>
        <v>-5.6732865766204094E-2</v>
      </c>
      <c r="R18" s="78">
        <f t="shared" si="6"/>
        <v>-1.0332502239990216E-2</v>
      </c>
      <c r="S18" s="78">
        <f t="shared" si="6"/>
        <v>6.9599057954472521E-3</v>
      </c>
      <c r="T18" s="78">
        <f>T15-T9</f>
        <v>-8.6387947946400812E-3</v>
      </c>
      <c r="W18" s="18" t="s">
        <v>186</v>
      </c>
      <c r="X18" s="171"/>
    </row>
    <row r="19" spans="1:24">
      <c r="A19">
        <v>430</v>
      </c>
      <c r="B19" s="159">
        <f>Reference!B19</f>
        <v>0</v>
      </c>
      <c r="C19" s="176">
        <f>Reference!M19</f>
        <v>76.622515338630009</v>
      </c>
      <c r="D19" s="16"/>
      <c r="E19" s="7"/>
      <c r="F19" s="15"/>
      <c r="G19" s="15"/>
      <c r="H19" s="15"/>
      <c r="I19" s="15"/>
      <c r="J19" s="15"/>
      <c r="K19" s="15"/>
      <c r="L19" s="15"/>
      <c r="M19" s="15"/>
      <c r="N19" s="15"/>
      <c r="O19" s="15"/>
      <c r="V19" t="s">
        <v>188</v>
      </c>
      <c r="W19" s="17">
        <f>N11</f>
        <v>13.705663667216738</v>
      </c>
      <c r="X19" s="17"/>
    </row>
    <row r="20" spans="1:24">
      <c r="A20">
        <v>435</v>
      </c>
      <c r="B20" s="159">
        <f>Reference!B20</f>
        <v>0</v>
      </c>
      <c r="C20" s="176">
        <f>Reference!M20</f>
        <v>85.631525077920131</v>
      </c>
      <c r="D20" s="16"/>
      <c r="F20" s="68"/>
      <c r="G20" s="90" t="s">
        <v>165</v>
      </c>
      <c r="H20" s="69"/>
      <c r="I20" s="69"/>
      <c r="J20" s="69"/>
      <c r="K20" s="70" t="s">
        <v>119</v>
      </c>
      <c r="L20" s="79" t="s">
        <v>115</v>
      </c>
      <c r="M20" s="80"/>
      <c r="N20" s="80"/>
      <c r="O20" s="80"/>
      <c r="P20" s="81" t="s">
        <v>119</v>
      </c>
      <c r="V20" s="20" t="s">
        <v>109</v>
      </c>
      <c r="W20" s="17">
        <f>N12</f>
        <v>9.4308434785316191</v>
      </c>
      <c r="X20" s="17"/>
    </row>
    <row r="21" spans="1:24">
      <c r="A21">
        <v>440</v>
      </c>
      <c r="B21" s="159">
        <f>Reference!B21</f>
        <v>0</v>
      </c>
      <c r="C21" s="176">
        <f>Reference!M21</f>
        <v>94.640534817210252</v>
      </c>
      <c r="D21" s="16"/>
      <c r="F21" s="71"/>
      <c r="G21" s="54" t="s">
        <v>111</v>
      </c>
      <c r="H21" s="38" t="s">
        <v>112</v>
      </c>
      <c r="I21" s="53" t="s">
        <v>130</v>
      </c>
      <c r="J21" s="53" t="s">
        <v>131</v>
      </c>
      <c r="K21" s="72" t="s">
        <v>109</v>
      </c>
      <c r="L21" s="82" t="s">
        <v>111</v>
      </c>
      <c r="M21" s="35" t="s">
        <v>112</v>
      </c>
      <c r="N21" s="83" t="s">
        <v>130</v>
      </c>
      <c r="O21" s="83" t="s">
        <v>131</v>
      </c>
      <c r="P21" s="84" t="s">
        <v>109</v>
      </c>
      <c r="V21" t="s">
        <v>110</v>
      </c>
      <c r="W21" s="17">
        <f>N13</f>
        <v>4.0188361303982321</v>
      </c>
      <c r="X21" s="17"/>
    </row>
    <row r="22" spans="1:24">
      <c r="A22">
        <v>445</v>
      </c>
      <c r="B22" s="159">
        <f>Reference!B22</f>
        <v>0</v>
      </c>
      <c r="C22" s="176">
        <f>Reference!M22</f>
        <v>100.78885931317939</v>
      </c>
      <c r="D22" s="16"/>
      <c r="F22" s="73" t="s">
        <v>6</v>
      </c>
      <c r="G22" s="66">
        <f>F8</f>
        <v>0.38907214592824818</v>
      </c>
      <c r="H22" s="11">
        <f>F9</f>
        <v>0.34892034061475935</v>
      </c>
      <c r="I22" s="65">
        <f t="shared" ref="I22:I35" si="7">4*G22/(-2*G22+12*H22+3)</f>
        <v>0.24283241014327178</v>
      </c>
      <c r="J22" s="49">
        <f t="shared" ref="J22:J35" si="8">6*H22/(-2*G22+12*H22+3)</f>
        <v>0.32665857018887784</v>
      </c>
      <c r="K22" s="86">
        <f>F6</f>
        <v>29.975813301438571</v>
      </c>
      <c r="L22" s="60">
        <f>F14</f>
        <v>0.39548028951490416</v>
      </c>
      <c r="M22" s="76">
        <f>F15</f>
        <v>0.34302268410564968</v>
      </c>
      <c r="N22" s="58">
        <f>4*L22/(-2*L22+12*M22+3)</f>
        <v>0.25009378992448111</v>
      </c>
      <c r="O22" s="59">
        <f t="shared" ref="O22:O35" si="9">6*M22/(-2*L22+12*M22+3)</f>
        <v>0.32538098119862302</v>
      </c>
      <c r="P22" s="88">
        <f>F12</f>
        <v>30.585640003736341</v>
      </c>
      <c r="V22" t="s">
        <v>111</v>
      </c>
      <c r="W22" s="16">
        <f>N14</f>
        <v>0.50471332760708909</v>
      </c>
      <c r="X22" s="16"/>
    </row>
    <row r="23" spans="1:24">
      <c r="A23">
        <v>450</v>
      </c>
      <c r="B23" s="159">
        <f>Reference!B23</f>
        <v>0</v>
      </c>
      <c r="C23" s="176">
        <f>Reference!M23</f>
        <v>106.93718380914852</v>
      </c>
      <c r="D23" s="16"/>
      <c r="F23" s="73" t="s">
        <v>7</v>
      </c>
      <c r="G23" s="66">
        <f>G8</f>
        <v>0.39476151987112135</v>
      </c>
      <c r="H23" s="11">
        <f>G9</f>
        <v>0.41058529897885371</v>
      </c>
      <c r="I23" s="66">
        <f t="shared" si="7"/>
        <v>0.22123235842357514</v>
      </c>
      <c r="J23" s="50">
        <f t="shared" si="8"/>
        <v>0.34515048752774413</v>
      </c>
      <c r="K23" s="86">
        <f>G6</f>
        <v>29.021002021793393</v>
      </c>
      <c r="L23" s="60">
        <f>G14</f>
        <v>0.39876374372208556</v>
      </c>
      <c r="M23" s="76">
        <f>G15</f>
        <v>0.40537626686595962</v>
      </c>
      <c r="N23" s="60">
        <f t="shared" ref="N23:N35" si="10">4*L23/(-2*L23+12*M23+3)</f>
        <v>0.22570507254663125</v>
      </c>
      <c r="O23" s="61">
        <f t="shared" si="9"/>
        <v>0.34417176020432355</v>
      </c>
      <c r="P23" s="88">
        <f>G12</f>
        <v>29.252834947224212</v>
      </c>
      <c r="V23" t="s">
        <v>112</v>
      </c>
      <c r="W23" s="16">
        <f>N15</f>
        <v>0.34729236830586219</v>
      </c>
      <c r="X23" s="16"/>
    </row>
    <row r="24" spans="1:24">
      <c r="A24">
        <v>455</v>
      </c>
      <c r="B24" s="159">
        <f>Reference!B24</f>
        <v>0</v>
      </c>
      <c r="C24" s="176">
        <f>Reference!M24</f>
        <v>107.78623553932431</v>
      </c>
      <c r="D24" s="16"/>
      <c r="F24" s="73" t="s">
        <v>8</v>
      </c>
      <c r="G24" s="66">
        <f>H8</f>
        <v>0.37937682316647192</v>
      </c>
      <c r="H24" s="11">
        <f>H9</f>
        <v>0.47707897864201332</v>
      </c>
      <c r="I24" s="66">
        <f t="shared" si="7"/>
        <v>0.19049338669348437</v>
      </c>
      <c r="J24" s="50">
        <f t="shared" si="8"/>
        <v>0.35932765846072906</v>
      </c>
      <c r="K24" s="86">
        <f>H6</f>
        <v>30.491060504504436</v>
      </c>
      <c r="L24" s="60">
        <f>H14</f>
        <v>0.37298019692247331</v>
      </c>
      <c r="M24" s="76">
        <f>H15</f>
        <v>0.4920730343955913</v>
      </c>
      <c r="N24" s="60">
        <f t="shared" si="10"/>
        <v>0.18285772083368543</v>
      </c>
      <c r="O24" s="61">
        <f t="shared" si="9"/>
        <v>0.36186647828381785</v>
      </c>
      <c r="P24" s="88">
        <f>H12</f>
        <v>31.740106485661805</v>
      </c>
      <c r="V24" t="s">
        <v>130</v>
      </c>
      <c r="W24" s="16">
        <f>N30</f>
        <v>0.32783801639026228</v>
      </c>
      <c r="X24" s="16"/>
    </row>
    <row r="25" spans="1:24">
      <c r="A25">
        <v>460</v>
      </c>
      <c r="B25" s="159">
        <f>Reference!B25</f>
        <v>1</v>
      </c>
      <c r="C25" s="176">
        <f>Reference!M25</f>
        <v>108.6352872695001</v>
      </c>
      <c r="D25" s="16"/>
      <c r="F25" s="73" t="s">
        <v>9</v>
      </c>
      <c r="G25" s="66">
        <f>I8</f>
        <v>0.29461663089071016</v>
      </c>
      <c r="H25" s="11">
        <f>I9</f>
        <v>0.42208875418765168</v>
      </c>
      <c r="I25" s="66">
        <f t="shared" si="7"/>
        <v>0.15763684321794538</v>
      </c>
      <c r="J25" s="50">
        <f t="shared" si="8"/>
        <v>0.33876264164098879</v>
      </c>
      <c r="K25" s="86">
        <f>I6</f>
        <v>29.340684616274725</v>
      </c>
      <c r="L25" s="60">
        <f>I14</f>
        <v>0.29698662702027062</v>
      </c>
      <c r="M25" s="76">
        <f>I15</f>
        <v>0.41826585388440779</v>
      </c>
      <c r="N25" s="60">
        <f t="shared" si="10"/>
        <v>0.15998812011412164</v>
      </c>
      <c r="O25" s="61">
        <f t="shared" si="9"/>
        <v>0.33798273179313998</v>
      </c>
      <c r="P25" s="88">
        <f>I12</f>
        <v>29.441943519008628</v>
      </c>
      <c r="V25" t="s">
        <v>131</v>
      </c>
      <c r="W25" s="16">
        <f>O30</f>
        <v>0.33837715859220868</v>
      </c>
      <c r="X25" s="16"/>
    </row>
    <row r="26" spans="1:24">
      <c r="A26">
        <v>465</v>
      </c>
      <c r="B26" s="159">
        <f>Reference!B26</f>
        <v>0</v>
      </c>
      <c r="C26" s="176">
        <f>Reference!M26</f>
        <v>107.80148312196911</v>
      </c>
      <c r="D26" s="16"/>
      <c r="F26" s="73" t="s">
        <v>10</v>
      </c>
      <c r="G26" s="66">
        <f>J8</f>
        <v>0.26758714696589719</v>
      </c>
      <c r="H26" s="11">
        <f>J9</f>
        <v>0.3311399548811706</v>
      </c>
      <c r="I26" s="66">
        <f t="shared" si="7"/>
        <v>0.166241784465985</v>
      </c>
      <c r="J26" s="50">
        <f t="shared" si="8"/>
        <v>0.30858711431932501</v>
      </c>
      <c r="K26" s="86">
        <f>J6</f>
        <v>30.659533688377039</v>
      </c>
      <c r="L26" s="60">
        <f>J14</f>
        <v>0.26822092534776071</v>
      </c>
      <c r="M26" s="76">
        <f>J15</f>
        <v>0.31444407477880115</v>
      </c>
      <c r="N26" s="60">
        <f t="shared" si="10"/>
        <v>0.17202230750151257</v>
      </c>
      <c r="O26" s="61">
        <f t="shared" si="9"/>
        <v>0.30250098078754806</v>
      </c>
      <c r="P26" s="88">
        <f>J12</f>
        <v>30.355297817355293</v>
      </c>
      <c r="V26" t="s">
        <v>189</v>
      </c>
      <c r="W26" s="16">
        <f>'von Kries'!F19</f>
        <v>0.32543789502918841</v>
      </c>
      <c r="X26" s="16"/>
    </row>
    <row r="27" spans="1:24">
      <c r="A27">
        <v>470</v>
      </c>
      <c r="B27" s="159">
        <f>Reference!B27</f>
        <v>0</v>
      </c>
      <c r="C27" s="176">
        <f>Reference!M27</f>
        <v>106.96767897443812</v>
      </c>
      <c r="D27" s="16"/>
      <c r="F27" s="73" t="s">
        <v>11</v>
      </c>
      <c r="G27" s="66">
        <f>K8</f>
        <v>0.25149405055035406</v>
      </c>
      <c r="H27" s="11">
        <f>K9</f>
        <v>0.26774844961412353</v>
      </c>
      <c r="I27" s="66">
        <f t="shared" si="7"/>
        <v>0.17617817576268141</v>
      </c>
      <c r="J27" s="50">
        <f t="shared" si="8"/>
        <v>0.2813472126661174</v>
      </c>
      <c r="K27" s="86">
        <f>K6</f>
        <v>29.574986614149736</v>
      </c>
      <c r="L27" s="60">
        <f>K14</f>
        <v>0.25006286879330908</v>
      </c>
      <c r="M27" s="76">
        <f>K15</f>
        <v>0.2507200266217558</v>
      </c>
      <c r="N27" s="60">
        <f t="shared" si="10"/>
        <v>0.18158279519936718</v>
      </c>
      <c r="O27" s="61">
        <f t="shared" si="9"/>
        <v>0.27308998412756147</v>
      </c>
      <c r="P27" s="88">
        <f>K12</f>
        <v>29.229769281066105</v>
      </c>
      <c r="V27" t="s">
        <v>190</v>
      </c>
      <c r="W27" s="16">
        <f>'von Kries'!G19</f>
        <v>0.34006024773878901</v>
      </c>
      <c r="X27" s="16"/>
    </row>
    <row r="28" spans="1:24">
      <c r="A28">
        <v>475</v>
      </c>
      <c r="B28" s="159">
        <f>Reference!B28</f>
        <v>0</v>
      </c>
      <c r="C28" s="176">
        <f>Reference!M28</f>
        <v>107.97550391568927</v>
      </c>
      <c r="D28" s="16"/>
      <c r="F28" s="73" t="s">
        <v>96</v>
      </c>
      <c r="G28" s="66">
        <f>L8</f>
        <v>0.29823483531654715</v>
      </c>
      <c r="H28" s="11">
        <f>L9</f>
        <v>0.2640491102589777</v>
      </c>
      <c r="I28" s="66">
        <f t="shared" si="7"/>
        <v>0.21409076180487102</v>
      </c>
      <c r="J28" s="50">
        <f t="shared" si="8"/>
        <v>0.2843253125137512</v>
      </c>
      <c r="K28" s="86">
        <f>L6</f>
        <v>29.364527885822262</v>
      </c>
      <c r="L28" s="60">
        <f>L14</f>
        <v>0.28939372881401088</v>
      </c>
      <c r="M28" s="76">
        <f>L15</f>
        <v>0.25404481993962913</v>
      </c>
      <c r="N28" s="60">
        <f t="shared" si="10"/>
        <v>0.21163212843131129</v>
      </c>
      <c r="O28" s="61">
        <f t="shared" si="9"/>
        <v>0.27867248288918339</v>
      </c>
      <c r="P28" s="88">
        <f>L12</f>
        <v>28.50222623532709</v>
      </c>
    </row>
    <row r="29" spans="1:24">
      <c r="A29">
        <v>480</v>
      </c>
      <c r="B29" s="159">
        <f>Reference!B29</f>
        <v>0</v>
      </c>
      <c r="C29" s="176">
        <f>Reference!M29</f>
        <v>108.98332885694043</v>
      </c>
      <c r="D29" s="16"/>
      <c r="F29" s="73" t="s">
        <v>97</v>
      </c>
      <c r="G29" s="66">
        <f>M8</f>
        <v>0.34128141369262843</v>
      </c>
      <c r="H29" s="11">
        <f>M9</f>
        <v>0.28381954139995735</v>
      </c>
      <c r="I29" s="66">
        <f t="shared" si="7"/>
        <v>0.23852190383795505</v>
      </c>
      <c r="J29" s="50">
        <f t="shared" si="8"/>
        <v>0.29754262015908034</v>
      </c>
      <c r="K29" s="86">
        <f>M6</f>
        <v>31.471509185575165</v>
      </c>
      <c r="L29" s="60">
        <f>M14</f>
        <v>0.31813249905778712</v>
      </c>
      <c r="M29" s="76">
        <f>M15</f>
        <v>0.2759713991614719</v>
      </c>
      <c r="N29" s="60">
        <f t="shared" si="10"/>
        <v>0.22421888089995667</v>
      </c>
      <c r="O29" s="61">
        <f t="shared" si="9"/>
        <v>0.29175578633263427</v>
      </c>
      <c r="P29" s="88">
        <f>M12</f>
        <v>29.516788616620481</v>
      </c>
    </row>
    <row r="30" spans="1:24">
      <c r="A30">
        <v>485</v>
      </c>
      <c r="B30" s="159">
        <f>Reference!B30</f>
        <v>0</v>
      </c>
      <c r="C30" s="176">
        <f>Reference!M30</f>
        <v>106.0608222272979</v>
      </c>
      <c r="D30" s="16"/>
      <c r="F30" s="73" t="s">
        <v>98</v>
      </c>
      <c r="G30" s="66">
        <f>N8</f>
        <v>0.57871313141546543</v>
      </c>
      <c r="H30" s="11">
        <f>N9</f>
        <v>0.31367989015253678</v>
      </c>
      <c r="I30" s="66">
        <f t="shared" si="7"/>
        <v>0.41287016263118442</v>
      </c>
      <c r="J30" s="50">
        <f t="shared" si="8"/>
        <v>0.33568203371672001</v>
      </c>
      <c r="K30" s="86">
        <f>N6</f>
        <v>11.575529257445316</v>
      </c>
      <c r="L30" s="60">
        <f>N14</f>
        <v>0.50471332760708909</v>
      </c>
      <c r="M30" s="76">
        <f>N15</f>
        <v>0.34729236830586219</v>
      </c>
      <c r="N30" s="60">
        <f t="shared" si="10"/>
        <v>0.32783801639026228</v>
      </c>
      <c r="O30" s="61">
        <f t="shared" si="9"/>
        <v>0.33837715859220868</v>
      </c>
      <c r="P30" s="88">
        <f>N12</f>
        <v>9.4308434785316191</v>
      </c>
    </row>
    <row r="31" spans="1:24">
      <c r="A31">
        <v>490</v>
      </c>
      <c r="B31" s="159">
        <f>Reference!B31</f>
        <v>0</v>
      </c>
      <c r="C31" s="176">
        <f>Reference!M31</f>
        <v>103.13831559765538</v>
      </c>
      <c r="D31" s="16"/>
      <c r="E31" s="3"/>
      <c r="F31" s="73" t="s">
        <v>99</v>
      </c>
      <c r="G31" s="66">
        <f>O8</f>
        <v>0.44279614527150052</v>
      </c>
      <c r="H31" s="11">
        <f>O9</f>
        <v>0.46912788024892293</v>
      </c>
      <c r="I31" s="66">
        <f t="shared" si="7"/>
        <v>0.2287187221666874</v>
      </c>
      <c r="J31" s="50">
        <f t="shared" si="8"/>
        <v>0.36347988950144455</v>
      </c>
      <c r="K31" s="86">
        <f>O6</f>
        <v>59.387932535322719</v>
      </c>
      <c r="L31" s="60">
        <f>O14</f>
        <v>0.43943348446776875</v>
      </c>
      <c r="M31" s="76">
        <f>O15</f>
        <v>0.47522548156873595</v>
      </c>
      <c r="N31" s="60">
        <f t="shared" si="10"/>
        <v>0.22466387416485473</v>
      </c>
      <c r="O31" s="61">
        <f t="shared" si="9"/>
        <v>0.36444422727732062</v>
      </c>
      <c r="P31" s="88">
        <f>O12</f>
        <v>61.195868231777567</v>
      </c>
    </row>
    <row r="32" spans="1:24">
      <c r="A32">
        <v>495</v>
      </c>
      <c r="B32" s="159">
        <f>Reference!B32</f>
        <v>0</v>
      </c>
      <c r="C32" s="176">
        <f>Reference!M32</f>
        <v>103.95576255276413</v>
      </c>
      <c r="D32" s="16"/>
      <c r="E32" s="3"/>
      <c r="F32" s="73" t="s">
        <v>100</v>
      </c>
      <c r="G32" s="66">
        <f>P8</f>
        <v>0.26029315964429489</v>
      </c>
      <c r="H32" s="11">
        <f>P9</f>
        <v>0.43436073036215828</v>
      </c>
      <c r="I32" s="66">
        <f t="shared" si="7"/>
        <v>0.1353623897334516</v>
      </c>
      <c r="J32" s="50">
        <f t="shared" si="8"/>
        <v>0.33882626736256144</v>
      </c>
      <c r="K32" s="86">
        <f>P6</f>
        <v>20.201211538759484</v>
      </c>
      <c r="L32" s="60">
        <f>P14</f>
        <v>0.27027528420006236</v>
      </c>
      <c r="M32" s="76">
        <f>P15</f>
        <v>0.44613991309457485</v>
      </c>
      <c r="N32" s="60">
        <f t="shared" si="10"/>
        <v>0.13836981590613778</v>
      </c>
      <c r="O32" s="61">
        <f t="shared" si="9"/>
        <v>0.34260789601601899</v>
      </c>
      <c r="P32" s="88">
        <f>P12</f>
        <v>20.980907307656381</v>
      </c>
    </row>
    <row r="33" spans="1:16">
      <c r="A33">
        <v>500</v>
      </c>
      <c r="B33" s="159">
        <f>Reference!B33</f>
        <v>0</v>
      </c>
      <c r="C33" s="176">
        <f>Reference!M33</f>
        <v>104.77320950787288</v>
      </c>
      <c r="D33" s="16"/>
      <c r="E33" s="3"/>
      <c r="F33" s="73" t="s">
        <v>101</v>
      </c>
      <c r="G33" s="66">
        <f>Q8</f>
        <v>0.15683016286532853</v>
      </c>
      <c r="H33" s="11">
        <f>Q9</f>
        <v>0.16639684807264754</v>
      </c>
      <c r="I33" s="66">
        <f t="shared" si="7"/>
        <v>0.13395409098532787</v>
      </c>
      <c r="J33" s="50">
        <f t="shared" si="8"/>
        <v>0.21318799380641562</v>
      </c>
      <c r="K33" s="86">
        <f>Q6</f>
        <v>6.2636265804362452</v>
      </c>
      <c r="L33" s="60">
        <f>Q14</f>
        <v>0.16480082276881361</v>
      </c>
      <c r="M33" s="76">
        <f>Q15</f>
        <v>0.10966398230644345</v>
      </c>
      <c r="N33" s="60">
        <f t="shared" si="10"/>
        <v>0.1653644616601688</v>
      </c>
      <c r="O33" s="61">
        <f t="shared" si="9"/>
        <v>0.16505856972924363</v>
      </c>
      <c r="P33" s="88">
        <f>Q12</f>
        <v>5.4536040103372052</v>
      </c>
    </row>
    <row r="34" spans="1:16">
      <c r="A34">
        <v>505</v>
      </c>
      <c r="B34" s="159">
        <f>Reference!B34</f>
        <v>0</v>
      </c>
      <c r="C34" s="176">
        <f>Reference!M34</f>
        <v>104.4134880269733</v>
      </c>
      <c r="D34" s="16"/>
      <c r="E34" s="3"/>
      <c r="F34" s="73" t="s">
        <v>102</v>
      </c>
      <c r="G34" s="66">
        <f>R8</f>
        <v>0.38471791495794866</v>
      </c>
      <c r="H34" s="11">
        <f>R9</f>
        <v>0.37017980141542733</v>
      </c>
      <c r="I34" s="66">
        <f t="shared" si="7"/>
        <v>0.23062128302934873</v>
      </c>
      <c r="J34" s="50">
        <f t="shared" si="8"/>
        <v>0.33285949562541228</v>
      </c>
      <c r="K34" s="86">
        <f>R6</f>
        <v>57.399001235717947</v>
      </c>
      <c r="L34" s="60">
        <f>R14</f>
        <v>0.38954668547976812</v>
      </c>
      <c r="M34" s="76">
        <f>R15</f>
        <v>0.35984729917543712</v>
      </c>
      <c r="N34" s="60">
        <f t="shared" si="10"/>
        <v>0.23828858485148685</v>
      </c>
      <c r="O34" s="61">
        <f t="shared" si="9"/>
        <v>0.33018187631684259</v>
      </c>
      <c r="P34" s="88">
        <f>R12</f>
        <v>57.442762399975088</v>
      </c>
    </row>
    <row r="35" spans="1:16">
      <c r="A35">
        <v>510</v>
      </c>
      <c r="B35" s="159">
        <f>Reference!B35</f>
        <v>0</v>
      </c>
      <c r="C35" s="176">
        <f>Reference!M35</f>
        <v>104.05376654607372</v>
      </c>
      <c r="D35" s="16"/>
      <c r="E35" s="3"/>
      <c r="F35" s="71" t="s">
        <v>103</v>
      </c>
      <c r="G35" s="67">
        <f>S8</f>
        <v>0.36094326869388588</v>
      </c>
      <c r="H35" s="51">
        <f>S9</f>
        <v>0.44853502428230818</v>
      </c>
      <c r="I35" s="67">
        <f t="shared" si="7"/>
        <v>0.18846899199702391</v>
      </c>
      <c r="J35" s="52">
        <f t="shared" si="8"/>
        <v>0.35130843778198106</v>
      </c>
      <c r="K35" s="87">
        <f>S6</f>
        <v>11.720353798777424</v>
      </c>
      <c r="L35" s="63">
        <f>S14</f>
        <v>0.35073891768617294</v>
      </c>
      <c r="M35" s="85">
        <f>S15</f>
        <v>0.45549493007775543</v>
      </c>
      <c r="N35" s="63">
        <f t="shared" si="10"/>
        <v>0.18068937585227471</v>
      </c>
      <c r="O35" s="64">
        <f t="shared" si="9"/>
        <v>0.35198444114462352</v>
      </c>
      <c r="P35" s="89">
        <f>S12</f>
        <v>12.116119189214434</v>
      </c>
    </row>
    <row r="36" spans="1:16">
      <c r="A36">
        <v>515</v>
      </c>
      <c r="B36" s="159">
        <f>Reference!B36</f>
        <v>0</v>
      </c>
      <c r="C36" s="176">
        <f>Reference!M36</f>
        <v>103.16675506059019</v>
      </c>
      <c r="D36" s="16"/>
      <c r="E36" s="3"/>
      <c r="F36" s="132" t="s">
        <v>40</v>
      </c>
      <c r="G36" s="133">
        <f>T8</f>
        <v>0.3906730724755248</v>
      </c>
      <c r="H36" s="134">
        <f>T9</f>
        <v>0.36090793423522677</v>
      </c>
      <c r="I36" s="133">
        <f>4*G36/(-2*G36+12*H36+3)</f>
        <v>0.23859540163535248</v>
      </c>
      <c r="J36" s="134">
        <f>6*H36/(-2*G36+12*H36+3)</f>
        <v>0.33062544972676888</v>
      </c>
      <c r="K36" s="135">
        <f>T6</f>
        <v>32.849983548969156</v>
      </c>
      <c r="L36" s="136">
        <f>T14</f>
        <v>0.38722121414611915</v>
      </c>
      <c r="M36" s="138">
        <f>T15</f>
        <v>0.35226913944058669</v>
      </c>
      <c r="N36" s="136">
        <f>4*L36/(-2*L36+12*M36+3)</f>
        <v>0.24003346116608626</v>
      </c>
      <c r="O36" s="137">
        <f>6*M36/(-2*L36+12*M36+3)</f>
        <v>0.32755067793114917</v>
      </c>
      <c r="P36" s="139">
        <f>T12</f>
        <v>33.89473487561105</v>
      </c>
    </row>
    <row r="37" spans="1:16" ht="11.4">
      <c r="A37">
        <v>520</v>
      </c>
      <c r="B37" s="159">
        <f>Reference!B37</f>
        <v>0</v>
      </c>
      <c r="C37" s="176">
        <f>Reference!M37</f>
        <v>102.27974357510666</v>
      </c>
      <c r="D37" s="16"/>
      <c r="E37" s="3"/>
      <c r="F37" s="95" t="s">
        <v>59</v>
      </c>
      <c r="G37" s="95">
        <f>Reference!L13</f>
        <v>0.32263795857846173</v>
      </c>
      <c r="H37" s="140">
        <f>Reference!L14</f>
        <v>0.33858197601617801</v>
      </c>
      <c r="I37" s="96">
        <f>Reference!L15</f>
        <v>0.20109233320217937</v>
      </c>
      <c r="J37" s="96">
        <f>Reference!L16</f>
        <v>0.3165447728343152</v>
      </c>
      <c r="K37" s="141">
        <f>Reference!L11</f>
        <v>100</v>
      </c>
      <c r="L37" s="142">
        <f>Reference!G13</f>
        <v>0.32322026680643018</v>
      </c>
      <c r="M37" s="142">
        <f>Reference!G14</f>
        <v>0.32876849751455639</v>
      </c>
      <c r="N37" s="143">
        <f>Reference!G15</f>
        <v>0.20525891876817345</v>
      </c>
      <c r="O37" s="144">
        <f>Reference!G16</f>
        <v>0.31317342964738365</v>
      </c>
      <c r="P37" s="144">
        <f>Reference!G11</f>
        <v>100</v>
      </c>
    </row>
    <row r="38" spans="1:16">
      <c r="A38">
        <v>525</v>
      </c>
      <c r="B38" s="159">
        <f>Reference!B38</f>
        <v>0</v>
      </c>
      <c r="C38" s="176">
        <f>Reference!M38</f>
        <v>104.0800464079222</v>
      </c>
      <c r="D38" s="16"/>
      <c r="E38" s="3"/>
      <c r="G38" s="5"/>
      <c r="H38" s="5"/>
    </row>
    <row r="39" spans="1:16">
      <c r="A39">
        <v>530</v>
      </c>
      <c r="B39" s="159">
        <f>Reference!B39</f>
        <v>0</v>
      </c>
      <c r="C39" s="176">
        <f>Reference!M39</f>
        <v>105.88034924073773</v>
      </c>
      <c r="D39" s="16"/>
      <c r="E39" s="3"/>
      <c r="G39" s="3"/>
      <c r="H39" s="5"/>
    </row>
    <row r="40" spans="1:16">
      <c r="A40">
        <v>535</v>
      </c>
      <c r="B40" s="159">
        <f>Reference!B40</f>
        <v>1</v>
      </c>
      <c r="C40" s="176">
        <f>Reference!M40</f>
        <v>104.53831785209806</v>
      </c>
      <c r="D40" s="16"/>
      <c r="E40" s="3"/>
      <c r="F40" s="3"/>
      <c r="G40" s="5"/>
      <c r="H40" s="5"/>
    </row>
    <row r="41" spans="1:16">
      <c r="A41">
        <v>540</v>
      </c>
      <c r="B41" s="159">
        <f>Reference!B41</f>
        <v>0</v>
      </c>
      <c r="C41" s="176">
        <f>Reference!M41</f>
        <v>103.19628646345839</v>
      </c>
      <c r="D41" s="16"/>
      <c r="E41" s="3"/>
      <c r="F41" s="3"/>
      <c r="G41" s="5"/>
      <c r="H41" s="5"/>
    </row>
    <row r="42" spans="1:16" ht="11.4">
      <c r="A42">
        <v>545</v>
      </c>
      <c r="B42" s="159">
        <f>Reference!B42</f>
        <v>0</v>
      </c>
      <c r="C42" s="176">
        <f>Reference!M42</f>
        <v>103.34059902175997</v>
      </c>
      <c r="D42" s="16"/>
      <c r="E42" s="3"/>
      <c r="F42" s="3"/>
      <c r="G42" s="3"/>
      <c r="H42" s="3"/>
    </row>
    <row r="43" spans="1:16" ht="11.4">
      <c r="A43">
        <v>550</v>
      </c>
      <c r="B43" s="159">
        <f>Reference!B43</f>
        <v>0</v>
      </c>
      <c r="C43" s="176">
        <f>Reference!M43</f>
        <v>103.48491158006156</v>
      </c>
      <c r="D43" s="16"/>
      <c r="E43" s="3"/>
      <c r="F43" s="3"/>
    </row>
    <row r="44" spans="1:16" ht="11.4">
      <c r="A44">
        <v>555</v>
      </c>
      <c r="B44" s="159">
        <f>Reference!B44</f>
        <v>0</v>
      </c>
      <c r="C44" s="176">
        <f>Reference!M44</f>
        <v>101.74245579003077</v>
      </c>
      <c r="D44" s="16"/>
      <c r="E44" s="3"/>
      <c r="F44" s="3"/>
    </row>
    <row r="45" spans="1:16" ht="11.4">
      <c r="A45">
        <v>560</v>
      </c>
      <c r="B45" s="159">
        <f>Reference!B45</f>
        <v>0</v>
      </c>
      <c r="C45" s="176">
        <f>Reference!M45</f>
        <v>100</v>
      </c>
      <c r="D45" s="16"/>
      <c r="E45" s="3"/>
      <c r="F45" s="3"/>
    </row>
    <row r="46" spans="1:16" ht="11.4">
      <c r="A46">
        <v>565</v>
      </c>
      <c r="B46" s="159">
        <f>Reference!B46</f>
        <v>0</v>
      </c>
      <c r="C46" s="176">
        <f>Reference!M46</f>
        <v>98.398346597502737</v>
      </c>
      <c r="D46" s="16"/>
      <c r="E46" s="3"/>
      <c r="F46" s="3"/>
    </row>
    <row r="47" spans="1:16" ht="11.4">
      <c r="A47">
        <v>570</v>
      </c>
      <c r="B47" s="159">
        <f>Reference!B47</f>
        <v>0</v>
      </c>
      <c r="C47" s="176">
        <f>Reference!M47</f>
        <v>96.796693195005474</v>
      </c>
      <c r="D47" s="16"/>
      <c r="E47" s="3"/>
      <c r="F47" s="3"/>
    </row>
    <row r="48" spans="1:16" ht="11.4">
      <c r="A48">
        <v>575</v>
      </c>
      <c r="B48" s="159">
        <f>Reference!B48</f>
        <v>0</v>
      </c>
      <c r="C48" s="176">
        <f>Reference!M48</f>
        <v>96.8042374049747</v>
      </c>
      <c r="D48" s="16"/>
      <c r="E48" s="3"/>
      <c r="F48" s="3"/>
    </row>
    <row r="49" spans="1:6" ht="11.4">
      <c r="A49">
        <v>580</v>
      </c>
      <c r="B49" s="159">
        <f>Reference!B49</f>
        <v>0</v>
      </c>
      <c r="C49" s="176">
        <f>Reference!M49</f>
        <v>96.811781614943925</v>
      </c>
      <c r="D49" s="16"/>
      <c r="E49" s="3"/>
      <c r="F49" s="3"/>
    </row>
    <row r="50" spans="1:6" ht="11.4">
      <c r="A50">
        <v>585</v>
      </c>
      <c r="B50" s="159">
        <f>Reference!B50</f>
        <v>0</v>
      </c>
      <c r="C50" s="176">
        <f>Reference!M50</f>
        <v>93.415176826072823</v>
      </c>
      <c r="D50" s="16"/>
      <c r="E50" s="3"/>
      <c r="F50" s="3"/>
    </row>
    <row r="51" spans="1:6" ht="11.4">
      <c r="A51">
        <v>590</v>
      </c>
      <c r="B51" s="159">
        <f>Reference!B51</f>
        <v>0</v>
      </c>
      <c r="C51" s="176">
        <f>Reference!M51</f>
        <v>90.018572037201736</v>
      </c>
      <c r="D51" s="16"/>
      <c r="E51" s="3"/>
      <c r="F51" s="3"/>
    </row>
    <row r="52" spans="1:6" ht="11.4">
      <c r="A52">
        <v>595</v>
      </c>
      <c r="B52" s="159">
        <f>Reference!B52</f>
        <v>0</v>
      </c>
      <c r="C52" s="176">
        <f>Reference!M52</f>
        <v>91.089794401763328</v>
      </c>
      <c r="D52" s="16"/>
      <c r="E52" s="3"/>
      <c r="F52" s="3"/>
    </row>
    <row r="53" spans="1:6" ht="11.4">
      <c r="A53">
        <v>600</v>
      </c>
      <c r="B53" s="159">
        <f>Reference!B53</f>
        <v>1</v>
      </c>
      <c r="C53" s="176">
        <f>Reference!M53</f>
        <v>92.16101676632492</v>
      </c>
      <c r="D53" s="16"/>
      <c r="E53" s="3"/>
      <c r="F53" s="3"/>
    </row>
    <row r="54" spans="1:6" ht="11.4">
      <c r="A54">
        <v>605</v>
      </c>
      <c r="B54" s="159">
        <f>Reference!B54</f>
        <v>0</v>
      </c>
      <c r="C54" s="176">
        <f>Reference!M54</f>
        <v>92.229858494182622</v>
      </c>
      <c r="D54" s="16"/>
      <c r="E54" s="3"/>
      <c r="F54" s="3"/>
    </row>
    <row r="55" spans="1:6" ht="11.4">
      <c r="A55">
        <v>610</v>
      </c>
      <c r="B55" s="159">
        <f>Reference!B55</f>
        <v>0</v>
      </c>
      <c r="C55" s="176">
        <f>Reference!M55</f>
        <v>92.298700222040281</v>
      </c>
      <c r="D55" s="16"/>
      <c r="E55" s="3"/>
      <c r="F55" s="3"/>
    </row>
    <row r="56" spans="1:6" ht="11.4">
      <c r="A56">
        <v>615</v>
      </c>
      <c r="B56" s="159">
        <f>Reference!B56</f>
        <v>0</v>
      </c>
      <c r="C56" s="176">
        <f>Reference!M56</f>
        <v>91.591905347811291</v>
      </c>
      <c r="D56" s="16"/>
      <c r="E56" s="3"/>
      <c r="F56" s="3"/>
    </row>
    <row r="57" spans="1:6" ht="11.4">
      <c r="A57">
        <v>620</v>
      </c>
      <c r="B57" s="159">
        <f>Reference!B57</f>
        <v>0</v>
      </c>
      <c r="C57" s="176">
        <f>Reference!M57</f>
        <v>90.885110473582316</v>
      </c>
      <c r="D57" s="16"/>
      <c r="E57" s="3"/>
      <c r="F57" s="3"/>
    </row>
    <row r="58" spans="1:6" ht="11.4">
      <c r="A58">
        <v>625</v>
      </c>
      <c r="B58" s="159">
        <f>Reference!B58</f>
        <v>0</v>
      </c>
      <c r="C58" s="176">
        <f>Reference!M58</f>
        <v>88.837915511677338</v>
      </c>
      <c r="D58" s="16"/>
      <c r="E58" s="3"/>
      <c r="F58" s="3"/>
    </row>
    <row r="59" spans="1:6" ht="11.4">
      <c r="A59">
        <v>630</v>
      </c>
      <c r="B59" s="159">
        <f>Reference!B59</f>
        <v>0</v>
      </c>
      <c r="C59" s="176">
        <f>Reference!M59</f>
        <v>86.790720549772345</v>
      </c>
      <c r="D59" s="16"/>
      <c r="E59" s="3"/>
      <c r="F59" s="3"/>
    </row>
    <row r="60" spans="1:6" ht="11.4">
      <c r="A60">
        <v>635</v>
      </c>
      <c r="B60" s="159">
        <f>Reference!B60</f>
        <v>0</v>
      </c>
      <c r="C60" s="176">
        <f>Reference!M60</f>
        <v>87.336047682498929</v>
      </c>
      <c r="D60" s="16"/>
      <c r="E60" s="3"/>
      <c r="F60" s="3"/>
    </row>
    <row r="61" spans="1:6" ht="11.4">
      <c r="A61">
        <v>640</v>
      </c>
      <c r="B61" s="159">
        <f>Reference!B61</f>
        <v>0</v>
      </c>
      <c r="C61" s="176">
        <f>Reference!M61</f>
        <v>87.881374815225513</v>
      </c>
      <c r="D61" s="16"/>
      <c r="E61" s="3"/>
      <c r="F61" s="3"/>
    </row>
    <row r="62" spans="1:6" ht="11.4">
      <c r="A62">
        <v>645</v>
      </c>
      <c r="B62" s="159">
        <f>Reference!B62</f>
        <v>0</v>
      </c>
      <c r="C62" s="176">
        <f>Reference!M62</f>
        <v>86.076657744884898</v>
      </c>
      <c r="D62" s="16"/>
      <c r="E62" s="3"/>
      <c r="F62" s="3"/>
    </row>
    <row r="63" spans="1:6" ht="11.4">
      <c r="A63">
        <v>650</v>
      </c>
      <c r="B63" s="159">
        <f>Reference!B63</f>
        <v>0</v>
      </c>
      <c r="C63" s="176">
        <f>Reference!M63</f>
        <v>84.271940674544297</v>
      </c>
      <c r="D63" s="16"/>
      <c r="E63" s="3"/>
      <c r="F63" s="3"/>
    </row>
    <row r="64" spans="1:6" ht="11.4">
      <c r="A64">
        <v>655</v>
      </c>
      <c r="B64" s="159">
        <f>Reference!B64</f>
        <v>0</v>
      </c>
      <c r="C64" s="176">
        <f>Reference!M64</f>
        <v>84.663636067927229</v>
      </c>
      <c r="D64" s="16"/>
      <c r="E64" s="3"/>
      <c r="F64" s="3"/>
    </row>
    <row r="65" spans="1:6" ht="11.4">
      <c r="A65">
        <v>660</v>
      </c>
      <c r="B65" s="159">
        <f>Reference!B65</f>
        <v>0</v>
      </c>
      <c r="C65" s="176">
        <f>Reference!M65</f>
        <v>85.055331461310161</v>
      </c>
      <c r="D65" s="16"/>
      <c r="E65" s="3"/>
      <c r="F65" s="3"/>
    </row>
    <row r="66" spans="1:6" ht="11.4">
      <c r="A66">
        <v>665</v>
      </c>
      <c r="B66" s="159">
        <f>Reference!B66</f>
        <v>0</v>
      </c>
      <c r="C66" s="176">
        <f>Reference!M66</f>
        <v>86.467780614796368</v>
      </c>
      <c r="D66" s="16"/>
      <c r="E66" s="3"/>
      <c r="F66" s="3"/>
    </row>
    <row r="67" spans="1:6" ht="11.4">
      <c r="A67">
        <v>670</v>
      </c>
      <c r="B67" s="159">
        <f>Reference!B67</f>
        <v>0</v>
      </c>
      <c r="C67" s="176">
        <f>Reference!M67</f>
        <v>87.880229768282589</v>
      </c>
      <c r="D67" s="16"/>
      <c r="E67" s="3"/>
      <c r="F67" s="3"/>
    </row>
    <row r="68" spans="1:6" ht="11.4">
      <c r="A68">
        <v>675</v>
      </c>
      <c r="B68" s="159">
        <f>Reference!B68</f>
        <v>0</v>
      </c>
      <c r="C68" s="176">
        <f>Reference!M68</f>
        <v>85.869098022036908</v>
      </c>
      <c r="D68" s="16"/>
      <c r="E68" s="3"/>
      <c r="F68" s="3"/>
    </row>
    <row r="69" spans="1:6" ht="11.4">
      <c r="A69">
        <v>680</v>
      </c>
      <c r="B69" s="159">
        <f>Reference!B69</f>
        <v>0</v>
      </c>
      <c r="C69" s="176">
        <f>Reference!M69</f>
        <v>83.857966275791227</v>
      </c>
      <c r="D69" s="16"/>
      <c r="E69" s="3"/>
      <c r="F69" s="3"/>
    </row>
    <row r="70" spans="1:6" ht="11.4">
      <c r="A70">
        <v>685</v>
      </c>
      <c r="B70" s="159">
        <f>Reference!B70</f>
        <v>0</v>
      </c>
      <c r="C70" s="176">
        <f>Reference!M70</f>
        <v>79.181012266464009</v>
      </c>
      <c r="D70" s="16"/>
      <c r="E70" s="3"/>
      <c r="F70" s="3"/>
    </row>
    <row r="71" spans="1:6" ht="11.4">
      <c r="A71">
        <v>690</v>
      </c>
      <c r="B71" s="159">
        <f>Reference!B71</f>
        <v>0</v>
      </c>
      <c r="C71" s="176">
        <f>Reference!M71</f>
        <v>74.504058257136819</v>
      </c>
      <c r="D71" s="16"/>
      <c r="E71" s="3"/>
      <c r="F71" s="3"/>
    </row>
    <row r="72" spans="1:6" ht="11.4">
      <c r="A72">
        <v>695</v>
      </c>
      <c r="B72" s="159">
        <f>Reference!B72</f>
        <v>0</v>
      </c>
      <c r="C72" s="176">
        <f>Reference!M72</f>
        <v>75.745753650519745</v>
      </c>
      <c r="D72" s="16"/>
      <c r="E72" s="3"/>
      <c r="F72" s="3"/>
    </row>
    <row r="73" spans="1:6" ht="11.4">
      <c r="A73">
        <v>700</v>
      </c>
      <c r="B73" s="159">
        <f>Reference!B73</f>
        <v>0</v>
      </c>
      <c r="C73" s="176">
        <f>Reference!M73</f>
        <v>76.987449043902686</v>
      </c>
      <c r="D73" s="16"/>
      <c r="E73" s="3"/>
      <c r="F73" s="3"/>
    </row>
    <row r="74" spans="1:6" ht="11.4">
      <c r="A74">
        <v>705</v>
      </c>
      <c r="B74" s="159">
        <f>Reference!B74</f>
        <v>0</v>
      </c>
      <c r="C74" s="176">
        <f>Reference!M74</f>
        <v>78.198134287223652</v>
      </c>
      <c r="D74" s="16"/>
      <c r="E74" s="3"/>
      <c r="F74" s="3"/>
    </row>
    <row r="75" spans="1:6" ht="11.4">
      <c r="A75">
        <v>710</v>
      </c>
      <c r="B75" s="159">
        <f>Reference!B75</f>
        <v>0</v>
      </c>
      <c r="C75" s="176">
        <f>Reference!M75</f>
        <v>79.408819530544633</v>
      </c>
      <c r="D75" s="16"/>
      <c r="E75" s="3"/>
      <c r="F75" s="3"/>
    </row>
    <row r="76" spans="1:6" ht="11.4">
      <c r="A76">
        <v>715</v>
      </c>
      <c r="B76" s="159">
        <f>Reference!B76</f>
        <v>0</v>
      </c>
      <c r="C76" s="176">
        <f>Reference!M76</f>
        <v>72.586748363200797</v>
      </c>
      <c r="D76" s="16"/>
      <c r="E76" s="3"/>
      <c r="F76" s="3"/>
    </row>
    <row r="77" spans="1:6" ht="11.4">
      <c r="A77">
        <v>720</v>
      </c>
      <c r="B77" s="159">
        <f>Reference!B77</f>
        <v>0</v>
      </c>
      <c r="C77" s="176">
        <f>Reference!M77</f>
        <v>65.76467719585699</v>
      </c>
      <c r="D77" s="16"/>
      <c r="E77" s="3"/>
      <c r="F77" s="3"/>
    </row>
    <row r="78" spans="1:6" ht="11.4">
      <c r="A78">
        <v>725</v>
      </c>
      <c r="B78" s="159">
        <f>Reference!B78</f>
        <v>0</v>
      </c>
      <c r="C78" s="176">
        <f>Reference!M78</f>
        <v>70.095901772600101</v>
      </c>
      <c r="D78" s="16"/>
      <c r="E78" s="3"/>
      <c r="F78" s="3"/>
    </row>
    <row r="79" spans="1:6" ht="11.4">
      <c r="A79">
        <v>730</v>
      </c>
      <c r="B79" s="159">
        <f>Reference!B79</f>
        <v>0</v>
      </c>
      <c r="C79" s="176">
        <f>Reference!M79</f>
        <v>74.427126349343212</v>
      </c>
      <c r="D79" s="16"/>
      <c r="E79" s="3"/>
      <c r="F79" s="3"/>
    </row>
    <row r="80" spans="1:6" ht="11.4">
      <c r="A80">
        <v>735</v>
      </c>
      <c r="B80" s="159">
        <f>Reference!B80</f>
        <v>0</v>
      </c>
      <c r="C80" s="176">
        <f>Reference!M80</f>
        <v>77.145945975667289</v>
      </c>
      <c r="D80" s="16"/>
      <c r="E80" s="3"/>
      <c r="F80" s="3"/>
    </row>
    <row r="81" spans="1:6" ht="11.4">
      <c r="A81">
        <v>740</v>
      </c>
      <c r="B81" s="159">
        <f>Reference!B81</f>
        <v>0</v>
      </c>
      <c r="C81" s="176">
        <f>Reference!M81</f>
        <v>79.86476560199138</v>
      </c>
      <c r="D81" s="16"/>
      <c r="E81" s="3"/>
      <c r="F81" s="3"/>
    </row>
    <row r="82" spans="1:6" ht="11.4">
      <c r="A82">
        <v>745</v>
      </c>
      <c r="B82" s="159">
        <f>Reference!B82</f>
        <v>0</v>
      </c>
      <c r="C82" s="176">
        <f>Reference!M82</f>
        <v>73.727104247809592</v>
      </c>
      <c r="D82" s="16"/>
      <c r="E82" s="3"/>
      <c r="F82" s="3"/>
    </row>
    <row r="83" spans="1:6" ht="11.4">
      <c r="A83">
        <v>750</v>
      </c>
      <c r="B83" s="159">
        <f>Reference!B83</f>
        <v>0</v>
      </c>
      <c r="C83" s="176">
        <f>Reference!M83</f>
        <v>67.589442893627847</v>
      </c>
      <c r="D83" s="16"/>
      <c r="E83" s="3"/>
      <c r="F83" s="3"/>
    </row>
    <row r="84" spans="1:6" ht="11.4">
      <c r="A84">
        <v>755</v>
      </c>
      <c r="B84" s="159">
        <f>Reference!B84</f>
        <v>0</v>
      </c>
      <c r="C84" s="176">
        <f>Reference!M84</f>
        <v>58.539376589027057</v>
      </c>
      <c r="D84" s="16"/>
      <c r="E84" s="3"/>
      <c r="F84" s="3"/>
    </row>
    <row r="85" spans="1:6" ht="11.4">
      <c r="A85">
        <v>760</v>
      </c>
      <c r="B85" s="159">
        <f>Reference!B85</f>
        <v>0</v>
      </c>
      <c r="C85" s="176">
        <f>Reference!M85</f>
        <v>49.489310284426267</v>
      </c>
      <c r="D85" s="16"/>
      <c r="E85" s="3"/>
      <c r="F85" s="3"/>
    </row>
    <row r="86" spans="1:6" ht="11.4">
      <c r="A86">
        <v>765</v>
      </c>
      <c r="B86" s="159">
        <f>Reference!B86</f>
        <v>0</v>
      </c>
      <c r="C86" s="176">
        <f>Reference!M86</f>
        <v>60.345813366465713</v>
      </c>
      <c r="D86" s="16"/>
      <c r="E86" s="3"/>
      <c r="F86" s="3"/>
    </row>
    <row r="87" spans="1:6" ht="11.4">
      <c r="A87">
        <v>770</v>
      </c>
      <c r="B87" s="159">
        <f>Reference!B87</f>
        <v>0</v>
      </c>
      <c r="C87" s="176">
        <f>Reference!M87</f>
        <v>71.202316448505158</v>
      </c>
      <c r="D87" s="16"/>
      <c r="E87" s="3"/>
      <c r="F87" s="3"/>
    </row>
    <row r="88" spans="1:6" ht="11.4">
      <c r="A88">
        <v>775</v>
      </c>
      <c r="B88" s="159">
        <f>Reference!B88</f>
        <v>0</v>
      </c>
      <c r="C88" s="176">
        <f>Reference!M88</f>
        <v>69.327082146276013</v>
      </c>
      <c r="D88" s="16"/>
      <c r="E88" s="3"/>
      <c r="F88" s="3"/>
    </row>
    <row r="89" spans="1:6" ht="11.4">
      <c r="A89">
        <v>780</v>
      </c>
      <c r="B89" s="159">
        <f>Reference!B89</f>
        <v>0</v>
      </c>
      <c r="C89" s="176">
        <f>Reference!M89</f>
        <v>67.451847844046853</v>
      </c>
      <c r="D89" s="16"/>
      <c r="E89" s="3"/>
      <c r="F89" s="3"/>
    </row>
    <row r="90" spans="1:6">
      <c r="A90">
        <v>785</v>
      </c>
      <c r="B90" s="159">
        <f>Reference!B90</f>
        <v>0</v>
      </c>
      <c r="C90" s="176">
        <f>Reference!M90</f>
        <v>67.95826251995193</v>
      </c>
      <c r="D90" s="16"/>
      <c r="F90" s="3"/>
    </row>
    <row r="91" spans="1:6">
      <c r="A91">
        <v>790</v>
      </c>
      <c r="B91" s="159">
        <f>Reference!B91</f>
        <v>0</v>
      </c>
      <c r="C91" s="176">
        <f>Reference!M91</f>
        <v>68.464677195856993</v>
      </c>
      <c r="D91" s="16"/>
    </row>
    <row r="92" spans="1:6">
      <c r="A92">
        <v>795</v>
      </c>
      <c r="B92" s="159">
        <f>Reference!B92</f>
        <v>0</v>
      </c>
      <c r="C92" s="176">
        <f>Reference!M92</f>
        <v>65.861447756370865</v>
      </c>
      <c r="D92" s="16"/>
    </row>
    <row r="93" spans="1:6">
      <c r="A93">
        <v>800</v>
      </c>
      <c r="B93" s="159">
        <f>Reference!B93</f>
        <v>0</v>
      </c>
      <c r="C93" s="176">
        <f>Reference!M93</f>
        <v>63.258218316884729</v>
      </c>
      <c r="D93" s="16"/>
    </row>
    <row r="94" spans="1:6">
      <c r="A94">
        <v>805</v>
      </c>
      <c r="B94" s="159">
        <f>Reference!B94</f>
        <v>0</v>
      </c>
      <c r="C94" s="176">
        <f>Reference!M94</f>
        <v>59.239376589027053</v>
      </c>
      <c r="D94" s="16"/>
    </row>
    <row r="95" spans="1:6">
      <c r="A95">
        <v>810</v>
      </c>
      <c r="B95" s="159">
        <f>Reference!B95</f>
        <v>0</v>
      </c>
      <c r="C95" s="176">
        <f>Reference!M95</f>
        <v>55.220534861169362</v>
      </c>
      <c r="D95" s="16"/>
    </row>
    <row r="96" spans="1:6">
      <c r="A96">
        <v>815</v>
      </c>
      <c r="B96" s="159">
        <f>Reference!B96</f>
        <v>0</v>
      </c>
      <c r="C96" s="176">
        <f>Reference!M96</f>
        <v>58.151759437912474</v>
      </c>
      <c r="D96" s="16"/>
    </row>
    <row r="97" spans="1:4">
      <c r="A97">
        <v>820</v>
      </c>
      <c r="B97" s="159">
        <f>Reference!B97</f>
        <v>0</v>
      </c>
      <c r="C97" s="176">
        <f>Reference!M97</f>
        <v>61.082984014655587</v>
      </c>
      <c r="D97" s="16"/>
    </row>
    <row r="98" spans="1:4">
      <c r="A98">
        <v>825</v>
      </c>
      <c r="B98" s="159">
        <f>Reference!B98</f>
        <v>0</v>
      </c>
      <c r="C98" s="176">
        <f>Reference!M98</f>
        <v>62.623808503722685</v>
      </c>
      <c r="D98" s="16"/>
    </row>
    <row r="99" spans="1:4">
      <c r="A99">
        <v>830</v>
      </c>
      <c r="B99" s="159">
        <f>Reference!B99</f>
        <v>0</v>
      </c>
      <c r="C99" s="176">
        <f>Reference!M99</f>
        <v>64.164632992789791</v>
      </c>
      <c r="D99" s="16"/>
    </row>
  </sheetData>
  <phoneticPr fontId="0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2" sqref="K12"/>
    </sheetView>
  </sheetViews>
  <sheetFormatPr defaultColWidth="11.375" defaultRowHeight="11.4"/>
  <sheetData/>
  <phoneticPr fontId="0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"/>
  <sheetViews>
    <sheetView workbookViewId="0">
      <selection activeCell="H4" sqref="H4"/>
    </sheetView>
  </sheetViews>
  <sheetFormatPr defaultColWidth="11.375" defaultRowHeight="11.4"/>
  <cols>
    <col min="1" max="1" width="9.75" customWidth="1"/>
    <col min="2" max="7" width="8.75" customWidth="1"/>
  </cols>
  <sheetData>
    <row r="1" spans="1:9" ht="17.399999999999999">
      <c r="A1" s="125" t="s">
        <v>14</v>
      </c>
    </row>
    <row r="3" spans="1:9" ht="15">
      <c r="A3" s="34"/>
      <c r="B3" s="111" t="s">
        <v>77</v>
      </c>
      <c r="C3" s="111" t="s">
        <v>78</v>
      </c>
      <c r="D3" s="112" t="s">
        <v>30</v>
      </c>
      <c r="E3" s="112" t="s">
        <v>31</v>
      </c>
      <c r="F3" s="34" t="s">
        <v>154</v>
      </c>
      <c r="G3" s="34" t="s">
        <v>155</v>
      </c>
    </row>
    <row r="4" spans="1:9">
      <c r="A4" s="34" t="s">
        <v>118</v>
      </c>
      <c r="B4" s="36">
        <f>Chromaticity!N37</f>
        <v>0.20525891876817345</v>
      </c>
      <c r="C4" s="36">
        <f>Chromaticity!O37</f>
        <v>0.31317342964738365</v>
      </c>
      <c r="D4" s="40">
        <f>Reference!G17</f>
        <v>5952.1491044527911</v>
      </c>
      <c r="E4" s="36">
        <f>Reference!G18</f>
        <v>2.1110342799350941E-3</v>
      </c>
      <c r="F4" s="36">
        <f>(4-B4-10*C4)/C4</f>
        <v>2.1170595011987454</v>
      </c>
      <c r="G4" s="36">
        <f>(1.708*C4+0.404-1.481*B4)/C4</f>
        <v>2.0273487436560078</v>
      </c>
    </row>
    <row r="5" spans="1:9" ht="15">
      <c r="A5" s="12"/>
      <c r="B5" s="99" t="s">
        <v>16</v>
      </c>
      <c r="C5" s="99" t="s">
        <v>17</v>
      </c>
      <c r="D5" s="12"/>
      <c r="E5" s="13"/>
      <c r="F5" s="113" t="s">
        <v>156</v>
      </c>
      <c r="G5" s="113" t="s">
        <v>157</v>
      </c>
      <c r="H5" s="48" t="s">
        <v>75</v>
      </c>
      <c r="I5" s="48" t="s">
        <v>76</v>
      </c>
    </row>
    <row r="6" spans="1:9">
      <c r="A6" s="12" t="s">
        <v>159</v>
      </c>
      <c r="B6" s="13">
        <f>Chromaticity!I37</f>
        <v>0.20109233320217937</v>
      </c>
      <c r="C6" s="13">
        <f>Chromaticity!J37</f>
        <v>0.3165447728343152</v>
      </c>
      <c r="D6" s="30">
        <f>Reference!L17</f>
        <v>5952.1168780750832</v>
      </c>
      <c r="E6" s="13">
        <f>Reference!L18</f>
        <v>3.248666276093032E-3</v>
      </c>
      <c r="F6" s="13">
        <f>(4-B6-10*C6)/C6</f>
        <v>2.0011701118382779</v>
      </c>
      <c r="G6" s="13">
        <f>(1.708*C6+0.404-1.481*B6)/C6</f>
        <v>2.0434415035093627</v>
      </c>
      <c r="H6" s="16">
        <f>B4-B6</f>
        <v>4.1665855659940854E-3</v>
      </c>
      <c r="I6" s="16">
        <f>C4-C6</f>
        <v>-3.3713431869315524E-3</v>
      </c>
    </row>
    <row r="8" spans="1:9">
      <c r="F8" t="s">
        <v>80</v>
      </c>
    </row>
    <row r="9" spans="1:9" ht="12" thickBot="1">
      <c r="B9" t="s">
        <v>79</v>
      </c>
      <c r="F9" t="s">
        <v>42</v>
      </c>
    </row>
    <row r="10" spans="1:9" ht="13.2">
      <c r="A10" s="41"/>
      <c r="B10" s="102" t="s">
        <v>18</v>
      </c>
      <c r="C10" s="102" t="s">
        <v>19</v>
      </c>
      <c r="D10" s="103" t="s">
        <v>173</v>
      </c>
      <c r="E10" s="43" t="s">
        <v>174</v>
      </c>
      <c r="F10" s="44" t="s">
        <v>171</v>
      </c>
      <c r="G10" s="45" t="s">
        <v>172</v>
      </c>
      <c r="H10" t="s">
        <v>158</v>
      </c>
    </row>
    <row r="11" spans="1:9">
      <c r="A11" t="str">
        <f>Chromaticity!F22</f>
        <v>TCS01</v>
      </c>
      <c r="B11" s="36">
        <f>Chromaticity!N22</f>
        <v>0.25009378992448111</v>
      </c>
      <c r="C11" s="36">
        <f>Chromaticity!O22</f>
        <v>0.32538098119862302</v>
      </c>
      <c r="D11" s="108">
        <f>(4-B11-10*C11)/C11</f>
        <v>1.5246631694999271</v>
      </c>
      <c r="E11" s="4">
        <f>(1.708*C11+0.404-1.481*B11)/C11</f>
        <v>1.8112976696979293</v>
      </c>
      <c r="F11" s="46">
        <f>(10.872+0.404*$F$6/$F$4*D11-4*$G$6/$G$4*E11)/(16.518+1.481*$F$6/$F$4*D11-$G$6/$G$4*E11)</f>
        <v>0.24672293257032749</v>
      </c>
      <c r="G11" s="47">
        <f t="shared" ref="G11:G24" si="0">5.52/(16.518+1.481*$F$6/$F$4*D11-$G$6/$G$4*E11)</f>
        <v>0.3280491919302902</v>
      </c>
      <c r="H11" s="16">
        <f>F11-B11</f>
        <v>-3.370857354153628E-3</v>
      </c>
      <c r="I11" s="16">
        <f>G11-C11</f>
        <v>2.6682107316671755E-3</v>
      </c>
    </row>
    <row r="12" spans="1:9">
      <c r="A12" t="str">
        <f>Chromaticity!F23</f>
        <v>TCS02</v>
      </c>
      <c r="B12" s="36">
        <f>Chromaticity!N23</f>
        <v>0.22570507254663125</v>
      </c>
      <c r="C12" s="36">
        <f>Chromaticity!O23</f>
        <v>0.34417176020432355</v>
      </c>
      <c r="D12" s="108">
        <f t="shared" ref="D12:D24" si="1">(4-B12-10*C12)/C12</f>
        <v>0.96631206817402127</v>
      </c>
      <c r="E12" s="4">
        <f t="shared" ref="E12:E24" si="2">(1.708*C12+0.404-1.481*B12)/C12</f>
        <v>1.9106046167095241</v>
      </c>
      <c r="F12" s="46">
        <f t="shared" ref="F12:F24" si="3">(10.872+0.404*$F$6/$F$4*D12-4*$G$6/$G$4*E12)/(16.518+1.481*$F$6/$F$4*D12-$G$6/$G$4*E12)</f>
        <v>0.22188382875241749</v>
      </c>
      <c r="G12" s="47">
        <f t="shared" si="0"/>
        <v>0.34619008073520652</v>
      </c>
      <c r="H12" s="16">
        <f t="shared" ref="H12:H24" si="4">F12-B12</f>
        <v>-3.8212437942137523E-3</v>
      </c>
      <c r="I12" s="16">
        <f t="shared" ref="I12:I24" si="5">G12-C12</f>
        <v>2.0183205308829666E-3</v>
      </c>
    </row>
    <row r="13" spans="1:9">
      <c r="A13" t="str">
        <f>Chromaticity!F24</f>
        <v>TCS03</v>
      </c>
      <c r="B13" s="36">
        <f>Chromaticity!N24</f>
        <v>0.18285772083368543</v>
      </c>
      <c r="C13" s="36">
        <f>Chromaticity!O24</f>
        <v>0.36186647828381785</v>
      </c>
      <c r="D13" s="108">
        <f t="shared" si="1"/>
        <v>0.54848268142833267</v>
      </c>
      <c r="E13" s="4">
        <f t="shared" si="2"/>
        <v>2.0760576219078533</v>
      </c>
      <c r="F13" s="46">
        <f t="shared" si="3"/>
        <v>0.17845426007649781</v>
      </c>
      <c r="G13" s="47">
        <f t="shared" si="0"/>
        <v>0.36331804693995956</v>
      </c>
      <c r="H13" s="16">
        <f t="shared" si="4"/>
        <v>-4.4034607571876161E-3</v>
      </c>
      <c r="I13" s="16">
        <f t="shared" si="5"/>
        <v>1.4515686561417107E-3</v>
      </c>
    </row>
    <row r="14" spans="1:9">
      <c r="A14" t="str">
        <f>Chromaticity!F25</f>
        <v>TCS04</v>
      </c>
      <c r="B14" s="36">
        <f>Chromaticity!N25</f>
        <v>0.15998812011412164</v>
      </c>
      <c r="C14" s="36">
        <f>Chromaticity!O25</f>
        <v>0.33798273179313998</v>
      </c>
      <c r="D14" s="108">
        <f t="shared" si="1"/>
        <v>1.3615623482093495</v>
      </c>
      <c r="E14" s="4">
        <f t="shared" si="2"/>
        <v>2.2022784893910861</v>
      </c>
      <c r="F14" s="46">
        <f t="shared" si="3"/>
        <v>0.15507710090265295</v>
      </c>
      <c r="G14" s="47">
        <f t="shared" si="0"/>
        <v>0.34064967438800159</v>
      </c>
      <c r="H14" s="16">
        <f t="shared" si="4"/>
        <v>-4.9110192114686924E-3</v>
      </c>
      <c r="I14" s="16">
        <f t="shared" si="5"/>
        <v>2.6669425948616099E-3</v>
      </c>
    </row>
    <row r="15" spans="1:9">
      <c r="A15" t="str">
        <f>Chromaticity!F26</f>
        <v>TCS05</v>
      </c>
      <c r="B15" s="36">
        <f>Chromaticity!N26</f>
        <v>0.17202230750151257</v>
      </c>
      <c r="C15" s="36">
        <f>Chromaticity!O26</f>
        <v>0.30250098078754806</v>
      </c>
      <c r="D15" s="108">
        <f t="shared" si="1"/>
        <v>2.6544306816213137</v>
      </c>
      <c r="E15" s="4">
        <f t="shared" si="2"/>
        <v>2.2013371197730769</v>
      </c>
      <c r="F15" s="46">
        <f t="shared" si="3"/>
        <v>0.16710567307399743</v>
      </c>
      <c r="G15" s="47">
        <f t="shared" si="0"/>
        <v>0.30640786351524218</v>
      </c>
      <c r="H15" s="16">
        <f t="shared" si="4"/>
        <v>-4.9166344275151375E-3</v>
      </c>
      <c r="I15" s="16">
        <f t="shared" si="5"/>
        <v>3.9068827276941276E-3</v>
      </c>
    </row>
    <row r="16" spans="1:9">
      <c r="A16" t="str">
        <f>Chromaticity!F27</f>
        <v>TCS06</v>
      </c>
      <c r="B16" s="36">
        <f>Chromaticity!N27</f>
        <v>0.18158279519936718</v>
      </c>
      <c r="C16" s="36">
        <f>Chromaticity!O27</f>
        <v>0.27308998412756147</v>
      </c>
      <c r="D16" s="108">
        <f t="shared" si="1"/>
        <v>3.9822674822707311</v>
      </c>
      <c r="E16" s="4">
        <f t="shared" si="2"/>
        <v>2.2026204114415369</v>
      </c>
      <c r="F16" s="46">
        <f t="shared" si="3"/>
        <v>0.1767416603127355</v>
      </c>
      <c r="G16" s="47">
        <f t="shared" si="0"/>
        <v>0.2777667747052146</v>
      </c>
      <c r="H16" s="16">
        <f t="shared" si="4"/>
        <v>-4.8411348866316817E-3</v>
      </c>
      <c r="I16" s="16">
        <f t="shared" si="5"/>
        <v>4.6767905776531338E-3</v>
      </c>
    </row>
    <row r="17" spans="1:9">
      <c r="A17" t="str">
        <f>Chromaticity!F28</f>
        <v>TCS07</v>
      </c>
      <c r="B17" s="36">
        <f>Chromaticity!N28</f>
        <v>0.21163212843131129</v>
      </c>
      <c r="C17" s="36">
        <f>Chromaticity!O28</f>
        <v>0.27867248288918339</v>
      </c>
      <c r="D17" s="108">
        <f t="shared" si="1"/>
        <v>3.5943378129485692</v>
      </c>
      <c r="E17" s="4">
        <f t="shared" si="2"/>
        <v>2.033015289827683</v>
      </c>
      <c r="F17" s="46">
        <f t="shared" si="3"/>
        <v>0.207583214984983</v>
      </c>
      <c r="G17" s="47">
        <f t="shared" si="0"/>
        <v>0.28306727531271209</v>
      </c>
      <c r="H17" s="16">
        <f t="shared" si="4"/>
        <v>-4.048913446328295E-3</v>
      </c>
      <c r="I17" s="16">
        <f t="shared" si="5"/>
        <v>4.3947924235286928E-3</v>
      </c>
    </row>
    <row r="18" spans="1:9">
      <c r="A18" t="str">
        <f>Chromaticity!F29</f>
        <v>TCS08</v>
      </c>
      <c r="B18" s="36">
        <f>Chromaticity!N29</f>
        <v>0.22421888089995667</v>
      </c>
      <c r="C18" s="36">
        <f>Chromaticity!O29</f>
        <v>0.29175578633263427</v>
      </c>
      <c r="D18" s="108">
        <f t="shared" si="1"/>
        <v>2.9415809247917708</v>
      </c>
      <c r="E18" s="4">
        <f t="shared" si="2"/>
        <v>1.9545481089213212</v>
      </c>
      <c r="F18" s="46">
        <f t="shared" si="3"/>
        <v>0.22045997237879736</v>
      </c>
      <c r="G18" s="47">
        <f t="shared" si="0"/>
        <v>0.29572577608211609</v>
      </c>
      <c r="H18" s="16">
        <f t="shared" si="4"/>
        <v>-3.7589085211593154E-3</v>
      </c>
      <c r="I18" s="16">
        <f t="shared" si="5"/>
        <v>3.969989749481817E-3</v>
      </c>
    </row>
    <row r="19" spans="1:9">
      <c r="A19" t="str">
        <f>Chromaticity!F30</f>
        <v>TCS09</v>
      </c>
      <c r="B19" s="36">
        <f>Chromaticity!N30</f>
        <v>0.32783801639026228</v>
      </c>
      <c r="C19" s="36">
        <f>Chromaticity!O30</f>
        <v>0.33837715859220868</v>
      </c>
      <c r="D19" s="108">
        <f t="shared" si="1"/>
        <v>0.85227501432861585</v>
      </c>
      <c r="E19" s="4">
        <f t="shared" si="2"/>
        <v>1.4670614490257863</v>
      </c>
      <c r="F19" s="46">
        <f t="shared" si="3"/>
        <v>0.32543789502918841</v>
      </c>
      <c r="G19" s="47">
        <f t="shared" si="0"/>
        <v>0.34006024773878901</v>
      </c>
      <c r="H19" s="16">
        <f t="shared" si="4"/>
        <v>-2.4001213610738703E-3</v>
      </c>
      <c r="I19" s="16">
        <f t="shared" si="5"/>
        <v>1.6830891465803299E-3</v>
      </c>
    </row>
    <row r="20" spans="1:9">
      <c r="A20" t="str">
        <f>Chromaticity!F31</f>
        <v>TCS10</v>
      </c>
      <c r="B20" s="36">
        <f>Chromaticity!N31</f>
        <v>0.22466387416485473</v>
      </c>
      <c r="C20" s="36">
        <f>Chromaticity!O31</f>
        <v>0.36444422727732062</v>
      </c>
      <c r="D20" s="108">
        <f t="shared" si="1"/>
        <v>0.35916017668825984</v>
      </c>
      <c r="E20" s="4">
        <f t="shared" si="2"/>
        <v>1.9035657327715489</v>
      </c>
      <c r="F20" s="46">
        <f t="shared" si="3"/>
        <v>0.22079373469890687</v>
      </c>
      <c r="G20" s="47">
        <f t="shared" si="0"/>
        <v>0.36551152893654748</v>
      </c>
      <c r="H20" s="16">
        <f t="shared" si="4"/>
        <v>-3.8701394659478583E-3</v>
      </c>
      <c r="I20" s="16">
        <f t="shared" si="5"/>
        <v>1.0673016592268603E-3</v>
      </c>
    </row>
    <row r="21" spans="1:9">
      <c r="A21" t="str">
        <f>Chromaticity!F32</f>
        <v>TCS11</v>
      </c>
      <c r="B21" s="36">
        <f>Chromaticity!N32</f>
        <v>0.13836981590613778</v>
      </c>
      <c r="C21" s="36">
        <f>Chromaticity!O32</f>
        <v>0.34260789601601899</v>
      </c>
      <c r="D21" s="108">
        <f t="shared" si="1"/>
        <v>1.2712819202313645</v>
      </c>
      <c r="E21" s="4">
        <f t="shared" si="2"/>
        <v>2.2890557928113311</v>
      </c>
      <c r="F21" s="46">
        <f t="shared" si="3"/>
        <v>0.13311542967776832</v>
      </c>
      <c r="G21" s="47">
        <f t="shared" si="0"/>
        <v>0.3452054305792569</v>
      </c>
      <c r="H21" s="16">
        <f t="shared" si="4"/>
        <v>-5.254386228369462E-3</v>
      </c>
      <c r="I21" s="16">
        <f t="shared" si="5"/>
        <v>2.5975345632379132E-3</v>
      </c>
    </row>
    <row r="22" spans="1:9">
      <c r="A22" t="str">
        <f>Chromaticity!F33</f>
        <v>TCS12</v>
      </c>
      <c r="B22" s="36">
        <f>Chromaticity!N33</f>
        <v>0.1653644616601688</v>
      </c>
      <c r="C22" s="36">
        <f>Chromaticity!O33</f>
        <v>0.16505856972924363</v>
      </c>
      <c r="D22" s="108">
        <f t="shared" si="1"/>
        <v>13.231968777083402</v>
      </c>
      <c r="E22" s="4">
        <f t="shared" si="2"/>
        <v>2.6718713854255753</v>
      </c>
      <c r="F22" s="46">
        <f t="shared" si="3"/>
        <v>0.15928801462490441</v>
      </c>
      <c r="G22" s="47">
        <f t="shared" si="0"/>
        <v>0.17064036020365445</v>
      </c>
      <c r="H22" s="16">
        <f t="shared" si="4"/>
        <v>-6.0764470352643873E-3</v>
      </c>
      <c r="I22" s="16">
        <f t="shared" si="5"/>
        <v>5.5817904744108193E-3</v>
      </c>
    </row>
    <row r="23" spans="1:9">
      <c r="A23" t="str">
        <f>Chromaticity!F34</f>
        <v>TCS13</v>
      </c>
      <c r="B23" s="36">
        <f>Chromaticity!N34</f>
        <v>0.23828858485148685</v>
      </c>
      <c r="C23" s="36">
        <f>Chromaticity!O34</f>
        <v>0.33018187631684259</v>
      </c>
      <c r="D23" s="108">
        <f t="shared" si="1"/>
        <v>1.3928464430275806</v>
      </c>
      <c r="E23" s="4">
        <f t="shared" si="2"/>
        <v>1.8627468516591672</v>
      </c>
      <c r="F23" s="46">
        <f t="shared" si="3"/>
        <v>0.23470113485722899</v>
      </c>
      <c r="G23" s="47">
        <f t="shared" si="0"/>
        <v>0.33272347966098592</v>
      </c>
      <c r="H23" s="16">
        <f t="shared" si="4"/>
        <v>-3.587449994257863E-3</v>
      </c>
      <c r="I23" s="16">
        <f t="shared" si="5"/>
        <v>2.5416033441433283E-3</v>
      </c>
    </row>
    <row r="24" spans="1:9">
      <c r="A24" t="str">
        <f>Chromaticity!F35</f>
        <v>TCS14</v>
      </c>
      <c r="B24" s="36">
        <f>Chromaticity!N35</f>
        <v>0.18068937585227471</v>
      </c>
      <c r="C24" s="36">
        <f>Chromaticity!O35</f>
        <v>0.35198444114462352</v>
      </c>
      <c r="D24" s="109">
        <f t="shared" si="1"/>
        <v>0.85079389227447466</v>
      </c>
      <c r="E24" s="110">
        <f t="shared" si="2"/>
        <v>2.0955143853495999</v>
      </c>
      <c r="F24" s="145">
        <f t="shared" si="3"/>
        <v>0.17620884823355551</v>
      </c>
      <c r="G24" s="146">
        <f t="shared" si="0"/>
        <v>0.3539164201407376</v>
      </c>
      <c r="H24" s="16">
        <f t="shared" si="4"/>
        <v>-4.4805276187191989E-3</v>
      </c>
      <c r="I24" s="16">
        <f t="shared" si="5"/>
        <v>1.931978996114081E-3</v>
      </c>
    </row>
    <row r="25" spans="1:9" s="3" customFormat="1" ht="12" thickBot="1">
      <c r="A25" t="str">
        <f>Chromaticity!F36</f>
        <v>TCS15</v>
      </c>
      <c r="B25" s="36">
        <f>Chromaticity!N36</f>
        <v>0.24003346116608626</v>
      </c>
      <c r="C25" s="36">
        <f>Chromaticity!O36</f>
        <v>0.32755067793114917</v>
      </c>
      <c r="D25" s="108">
        <f>(4-B25-10*C25)/C25</f>
        <v>1.4790375723913325</v>
      </c>
      <c r="E25" s="4">
        <f>(1.708*C25+0.404-1.481*B25)/C25</f>
        <v>1.856100575823638</v>
      </c>
      <c r="F25" s="106">
        <f>(10.872+0.404*$F$6/$F$4*D25-4*$G$6/$G$4*E25)/(16.518+1.481*$F$6/$F$4*D25-$G$6/$G$4*E25)</f>
        <v>0.23648484509423481</v>
      </c>
      <c r="G25" s="107">
        <f>5.52/(16.518+1.481*$F$6/$F$4*D25-$G$6/$G$4*E25)</f>
        <v>0.33018869366945253</v>
      </c>
      <c r="H25" s="16">
        <f>F25-B25</f>
        <v>-3.5486160718514459E-3</v>
      </c>
      <c r="I25" s="16">
        <f>G25-C25</f>
        <v>2.6380157383033564E-3</v>
      </c>
    </row>
    <row r="26" spans="1:9" ht="15">
      <c r="A26" s="3"/>
      <c r="B26" s="76" t="s">
        <v>73</v>
      </c>
      <c r="C26" s="76" t="s">
        <v>74</v>
      </c>
      <c r="D26" s="100" t="s">
        <v>154</v>
      </c>
      <c r="E26" s="101" t="s">
        <v>155</v>
      </c>
      <c r="F26" s="104" t="s">
        <v>175</v>
      </c>
      <c r="G26" s="105" t="s">
        <v>15</v>
      </c>
      <c r="H26" s="4"/>
      <c r="I26" s="4"/>
    </row>
    <row r="27" spans="1:9">
      <c r="A27" t="str">
        <f>Chromaticity!F37</f>
        <v>Source</v>
      </c>
      <c r="B27" s="36">
        <f>Chromaticity!N37</f>
        <v>0.20525891876817345</v>
      </c>
      <c r="C27" s="36">
        <f>Chromaticity!O37</f>
        <v>0.31317342964738365</v>
      </c>
      <c r="D27" s="6">
        <f>(4-B27-10*C27)/C27</f>
        <v>2.1170595011987454</v>
      </c>
      <c r="E27" s="32">
        <f>(1.708*C27+0.404-1.481*B27)/C27</f>
        <v>2.0273487436560078</v>
      </c>
      <c r="F27" s="63">
        <f>(10.872+0.404*$F$6/$F$4*D27-4*$G$6/$G$4*E27)/(16.518+1.481*$F$6/$F$4*D27-$G$6/$G$4*E27)</f>
        <v>0.20109233320217937</v>
      </c>
      <c r="G27" s="64">
        <f>5.52/(16.518+1.481*$F$6/$F$4*D27-$G$6/$G$4*E27)</f>
        <v>0.31654477283431515</v>
      </c>
      <c r="H27" s="16">
        <f>F27-B27</f>
        <v>-4.1665855659940854E-3</v>
      </c>
      <c r="I27" s="16">
        <f>G27-C27</f>
        <v>3.3713431869314969E-3</v>
      </c>
    </row>
    <row r="28" spans="1:9" ht="13.2">
      <c r="G28" s="42"/>
    </row>
    <row r="29" spans="1:9">
      <c r="B29" s="16"/>
      <c r="C29" s="16"/>
      <c r="F29" s="16"/>
      <c r="G29" s="16"/>
      <c r="H29" s="16"/>
      <c r="I29" s="16"/>
    </row>
  </sheetData>
  <phoneticPr fontId="0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5"/>
  <sheetViews>
    <sheetView topLeftCell="A8" workbookViewId="0">
      <selection activeCell="Q32" sqref="Q32"/>
    </sheetView>
  </sheetViews>
  <sheetFormatPr defaultColWidth="11.375" defaultRowHeight="11.4"/>
  <cols>
    <col min="1" max="1" width="11.375" customWidth="1"/>
    <col min="2" max="4" width="9" customWidth="1"/>
    <col min="5" max="5" width="8.25" customWidth="1"/>
    <col min="6" max="6" width="7.75" customWidth="1"/>
    <col min="7" max="7" width="7.375" style="57" customWidth="1"/>
    <col min="8" max="8" width="11.375" customWidth="1"/>
    <col min="9" max="9" width="6.125" style="18" customWidth="1"/>
  </cols>
  <sheetData>
    <row r="1" spans="1:10" ht="17.399999999999999">
      <c r="A1" s="125" t="s">
        <v>63</v>
      </c>
    </row>
    <row r="2" spans="1:10">
      <c r="J2" t="s">
        <v>116</v>
      </c>
    </row>
    <row r="3" spans="1:10">
      <c r="B3" s="12" t="s">
        <v>163</v>
      </c>
      <c r="C3" s="12"/>
      <c r="D3" s="12"/>
      <c r="J3" t="s">
        <v>118</v>
      </c>
    </row>
    <row r="4" spans="1:10">
      <c r="B4" s="12" t="s">
        <v>162</v>
      </c>
      <c r="C4" s="12"/>
      <c r="D4" s="12"/>
      <c r="E4" t="s">
        <v>66</v>
      </c>
    </row>
    <row r="5" spans="1:10" ht="15">
      <c r="A5" s="41"/>
      <c r="B5" s="55" t="s">
        <v>130</v>
      </c>
      <c r="C5" s="55" t="s">
        <v>131</v>
      </c>
      <c r="D5" s="94" t="s">
        <v>58</v>
      </c>
      <c r="E5" s="97" t="s">
        <v>168</v>
      </c>
      <c r="F5" s="97" t="s">
        <v>169</v>
      </c>
      <c r="G5" s="98" t="s">
        <v>170</v>
      </c>
    </row>
    <row r="6" spans="1:10">
      <c r="A6" t="str">
        <f>Chromaticity!F22</f>
        <v>TCS01</v>
      </c>
      <c r="B6" s="13">
        <f>Chromaticity!I22</f>
        <v>0.24283241014327178</v>
      </c>
      <c r="C6" s="13">
        <f>Chromaticity!J22</f>
        <v>0.32665857018887784</v>
      </c>
      <c r="D6" s="29">
        <f>Chromaticity!K22</f>
        <v>29.975813301438571</v>
      </c>
      <c r="E6" s="17">
        <f>25*D6^(1/3)-17</f>
        <v>60.659931009424398</v>
      </c>
      <c r="F6" s="17">
        <f>13*E6*(B6-$B$21)</f>
        <v>32.915352438471515</v>
      </c>
      <c r="G6" s="92">
        <f>13*E6*(C6-$C$21)</f>
        <v>7.975529247023891</v>
      </c>
    </row>
    <row r="7" spans="1:10">
      <c r="A7" t="str">
        <f>Chromaticity!F23</f>
        <v>TCS02</v>
      </c>
      <c r="B7" s="13">
        <f>Chromaticity!I23</f>
        <v>0.22123235842357514</v>
      </c>
      <c r="C7" s="13">
        <f>Chromaticity!J23</f>
        <v>0.34515048752774413</v>
      </c>
      <c r="D7" s="29">
        <f>Chromaticity!K23</f>
        <v>29.021002021793393</v>
      </c>
      <c r="E7" s="17">
        <f t="shared" ref="E7:E21" si="0">25*D7^(1/3)-17</f>
        <v>59.826457795803165</v>
      </c>
      <c r="F7" s="17">
        <f t="shared" ref="F7:F21" si="1">13*E7*(B7-$B$21)</f>
        <v>15.663782795885188</v>
      </c>
      <c r="G7" s="92">
        <f t="shared" ref="G7:G21" si="2">13*E7*(C7-$C$21)</f>
        <v>22.247921576727759</v>
      </c>
    </row>
    <row r="8" spans="1:10">
      <c r="A8" t="str">
        <f>Chromaticity!F24</f>
        <v>TCS03</v>
      </c>
      <c r="B8" s="13">
        <f>Chromaticity!I24</f>
        <v>0.19049338669348437</v>
      </c>
      <c r="C8" s="13">
        <f>Chromaticity!J24</f>
        <v>0.35932765846072906</v>
      </c>
      <c r="D8" s="29">
        <f>Chromaticity!K24</f>
        <v>30.491060504504436</v>
      </c>
      <c r="E8" s="17">
        <f t="shared" si="0"/>
        <v>61.102365073192928</v>
      </c>
      <c r="F8" s="17">
        <f t="shared" si="1"/>
        <v>-8.4190690865518327</v>
      </c>
      <c r="G8" s="92">
        <f t="shared" si="2"/>
        <v>33.983761453587377</v>
      </c>
    </row>
    <row r="9" spans="1:10">
      <c r="A9" t="str">
        <f>Chromaticity!F25</f>
        <v>TCS04</v>
      </c>
      <c r="B9" s="13">
        <f>Chromaticity!I25</f>
        <v>0.15763684321794538</v>
      </c>
      <c r="C9" s="13">
        <f>Chromaticity!J25</f>
        <v>0.33876264164098879</v>
      </c>
      <c r="D9" s="29">
        <f>Chromaticity!K25</f>
        <v>29.340684616274725</v>
      </c>
      <c r="E9" s="17">
        <f t="shared" si="0"/>
        <v>60.107523765221316</v>
      </c>
      <c r="F9" s="17">
        <f t="shared" si="1"/>
        <v>-33.95602466043686</v>
      </c>
      <c r="G9" s="92">
        <f t="shared" si="2"/>
        <v>17.360994005026129</v>
      </c>
    </row>
    <row r="10" spans="1:10">
      <c r="A10" t="str">
        <f>Chromaticity!F26</f>
        <v>TCS05</v>
      </c>
      <c r="B10" s="13">
        <f>Chromaticity!I26</f>
        <v>0.166241784465985</v>
      </c>
      <c r="C10" s="13">
        <f>Chromaticity!J26</f>
        <v>0.30858711431932501</v>
      </c>
      <c r="D10" s="29">
        <f>Chromaticity!K26</f>
        <v>30.659533688377039</v>
      </c>
      <c r="E10" s="17">
        <f t="shared" si="0"/>
        <v>61.245948073468512</v>
      </c>
      <c r="F10" s="17">
        <f t="shared" si="1"/>
        <v>-27.747913676974967</v>
      </c>
      <c r="G10" s="92">
        <f t="shared" si="2"/>
        <v>-6.3358664225412928</v>
      </c>
    </row>
    <row r="11" spans="1:10">
      <c r="A11" t="str">
        <f>Chromaticity!F27</f>
        <v>TCS06</v>
      </c>
      <c r="B11" s="13">
        <f>Chromaticity!I27</f>
        <v>0.17617817576268141</v>
      </c>
      <c r="C11" s="13">
        <f>Chromaticity!J27</f>
        <v>0.2813472126661174</v>
      </c>
      <c r="D11" s="29">
        <f>Chromaticity!K27</f>
        <v>29.574986614149736</v>
      </c>
      <c r="E11" s="17">
        <f t="shared" si="0"/>
        <v>60.312228927487965</v>
      </c>
      <c r="F11" s="17">
        <f t="shared" si="1"/>
        <v>-19.534168771344216</v>
      </c>
      <c r="G11" s="92">
        <f t="shared" si="2"/>
        <v>-27.596962985193912</v>
      </c>
    </row>
    <row r="12" spans="1:10">
      <c r="A12" t="str">
        <f>Chromaticity!F28</f>
        <v>TCS07</v>
      </c>
      <c r="B12" s="13">
        <f>Chromaticity!I28</f>
        <v>0.21409076180487102</v>
      </c>
      <c r="C12" s="13">
        <f>Chromaticity!J28</f>
        <v>0.2843253125137512</v>
      </c>
      <c r="D12" s="29">
        <f>Chromaticity!K28</f>
        <v>29.364527885822262</v>
      </c>
      <c r="E12" s="17">
        <f t="shared" si="0"/>
        <v>60.128404869546685</v>
      </c>
      <c r="F12" s="17">
        <f t="shared" si="1"/>
        <v>10.160472109977016</v>
      </c>
      <c r="G12" s="92">
        <f t="shared" si="2"/>
        <v>-25.184961812831165</v>
      </c>
    </row>
    <row r="13" spans="1:10">
      <c r="A13" t="str">
        <f>Chromaticity!F29</f>
        <v>TCS08</v>
      </c>
      <c r="B13" s="13">
        <f>Chromaticity!I29</f>
        <v>0.23852190383795505</v>
      </c>
      <c r="C13" s="13">
        <f>Chromaticity!J29</f>
        <v>0.29754262015908034</v>
      </c>
      <c r="D13" s="29">
        <f>Chromaticity!K29</f>
        <v>31.471509185575165</v>
      </c>
      <c r="E13" s="17">
        <f t="shared" si="0"/>
        <v>61.930683791863359</v>
      </c>
      <c r="F13" s="17">
        <f t="shared" si="1"/>
        <v>30.134505745622686</v>
      </c>
      <c r="G13" s="92">
        <f t="shared" si="2"/>
        <v>-15.29861201303085</v>
      </c>
    </row>
    <row r="14" spans="1:10">
      <c r="A14" t="str">
        <f>Chromaticity!F30</f>
        <v>TCS09</v>
      </c>
      <c r="B14" s="13">
        <f>Chromaticity!I30</f>
        <v>0.41287016263118442</v>
      </c>
      <c r="C14" s="13">
        <f>Chromaticity!J30</f>
        <v>0.33568203371672001</v>
      </c>
      <c r="D14" s="29">
        <f>Chromaticity!K30</f>
        <v>11.575529257445316</v>
      </c>
      <c r="E14" s="17">
        <f t="shared" si="0"/>
        <v>39.552736898303415</v>
      </c>
      <c r="F14" s="17">
        <f t="shared" si="1"/>
        <v>108.89310598788978</v>
      </c>
      <c r="G14" s="92">
        <f t="shared" si="2"/>
        <v>9.840103580267364</v>
      </c>
    </row>
    <row r="15" spans="1:10">
      <c r="A15" t="str">
        <f>Chromaticity!F31</f>
        <v>TCS10</v>
      </c>
      <c r="B15" s="13">
        <f>Chromaticity!I31</f>
        <v>0.2287187221666874</v>
      </c>
      <c r="C15" s="13">
        <f>Chromaticity!J31</f>
        <v>0.36347988950144455</v>
      </c>
      <c r="D15" s="29">
        <f>Chromaticity!K31</f>
        <v>59.387932535322719</v>
      </c>
      <c r="E15" s="17">
        <f t="shared" si="0"/>
        <v>80.537752493526582</v>
      </c>
      <c r="F15" s="17">
        <f t="shared" si="1"/>
        <v>28.924574597274745</v>
      </c>
      <c r="G15" s="92">
        <f t="shared" si="2"/>
        <v>49.140634522096754</v>
      </c>
    </row>
    <row r="16" spans="1:10">
      <c r="A16" t="str">
        <f>Chromaticity!F32</f>
        <v>TCS11</v>
      </c>
      <c r="B16" s="13">
        <f>Chromaticity!I32</f>
        <v>0.1353623897334516</v>
      </c>
      <c r="C16" s="13">
        <f>Chromaticity!J32</f>
        <v>0.33882626736256144</v>
      </c>
      <c r="D16" s="29">
        <f>Chromaticity!K32</f>
        <v>20.201211538759484</v>
      </c>
      <c r="E16" s="17">
        <f t="shared" si="0"/>
        <v>51.0872532116326</v>
      </c>
      <c r="F16" s="17">
        <f t="shared" si="1"/>
        <v>-43.653509452451495</v>
      </c>
      <c r="G16" s="92">
        <f t="shared" si="2"/>
        <v>14.797904587675584</v>
      </c>
    </row>
    <row r="17" spans="1:14">
      <c r="A17" t="str">
        <f>Chromaticity!F33</f>
        <v>TCS12</v>
      </c>
      <c r="B17" s="13">
        <f>Chromaticity!I33</f>
        <v>0.13395409098532787</v>
      </c>
      <c r="C17" s="13">
        <f>Chromaticity!J33</f>
        <v>0.21318799380641562</v>
      </c>
      <c r="D17" s="29">
        <f>Chromaticity!K33</f>
        <v>6.2636265804362452</v>
      </c>
      <c r="E17" s="17">
        <f t="shared" si="0"/>
        <v>29.083836607823613</v>
      </c>
      <c r="F17" s="17">
        <f t="shared" si="1"/>
        <v>-25.384289668028128</v>
      </c>
      <c r="G17" s="92">
        <f t="shared" si="2"/>
        <v>-39.078151756258706</v>
      </c>
    </row>
    <row r="18" spans="1:14">
      <c r="A18" t="str">
        <f>Chromaticity!F34</f>
        <v>TCS13</v>
      </c>
      <c r="B18" s="13">
        <f>Chromaticity!I34</f>
        <v>0.23062128302934873</v>
      </c>
      <c r="C18" s="13">
        <f>Chromaticity!J34</f>
        <v>0.33285949562541228</v>
      </c>
      <c r="D18" s="29">
        <f>Chromaticity!K34</f>
        <v>57.399001235717947</v>
      </c>
      <c r="E18" s="17">
        <f t="shared" si="0"/>
        <v>79.436503077160438</v>
      </c>
      <c r="F18" s="17">
        <f t="shared" si="1"/>
        <v>30.493794679546316</v>
      </c>
      <c r="G18" s="92">
        <f t="shared" si="2"/>
        <v>16.847798853574034</v>
      </c>
    </row>
    <row r="19" spans="1:14">
      <c r="A19" t="str">
        <f>Chromaticity!F35</f>
        <v>TCS14</v>
      </c>
      <c r="B19" s="13">
        <f>Chromaticity!I35</f>
        <v>0.18846899199702391</v>
      </c>
      <c r="C19" s="13">
        <f>Chromaticity!J35</f>
        <v>0.35130843778198106</v>
      </c>
      <c r="D19" s="29">
        <f>Chromaticity!K35</f>
        <v>11.720353798777424</v>
      </c>
      <c r="E19" s="17">
        <f t="shared" si="0"/>
        <v>39.787608892979989</v>
      </c>
      <c r="F19" s="17">
        <f t="shared" si="1"/>
        <v>-6.529283316313732</v>
      </c>
      <c r="G19" s="92">
        <f t="shared" si="2"/>
        <v>17.98112036011625</v>
      </c>
    </row>
    <row r="20" spans="1:14">
      <c r="A20" t="str">
        <f>Chromaticity!F36</f>
        <v>TCS15</v>
      </c>
      <c r="B20" s="13">
        <f>Chromaticity!I36</f>
        <v>0.23859540163535248</v>
      </c>
      <c r="C20" s="13">
        <f>Chromaticity!J36</f>
        <v>0.33062544972676888</v>
      </c>
      <c r="D20" s="29">
        <f>Chromaticity!K36</f>
        <v>32.849983548969156</v>
      </c>
      <c r="E20" s="17">
        <f t="shared" si="0"/>
        <v>63.066662818378802</v>
      </c>
      <c r="F20" s="17">
        <f>13*E20*(B20-$B$21)</f>
        <v>30.747513829883683</v>
      </c>
      <c r="G20" s="92">
        <f>13*E20*(C20-$C$21)</f>
        <v>11.544276923801883</v>
      </c>
    </row>
    <row r="21" spans="1:14">
      <c r="A21" t="str">
        <f>Chromaticity!F37</f>
        <v>Source</v>
      </c>
      <c r="B21" s="13">
        <f>Chromaticity!I37</f>
        <v>0.20109233320217937</v>
      </c>
      <c r="C21" s="13">
        <f>Chromaticity!J37</f>
        <v>0.3165447728343152</v>
      </c>
      <c r="D21" s="29">
        <f>Chromaticity!K37</f>
        <v>100</v>
      </c>
      <c r="E21" s="17">
        <f t="shared" si="0"/>
        <v>99.03972084031949</v>
      </c>
      <c r="F21" s="17">
        <f t="shared" si="1"/>
        <v>0</v>
      </c>
      <c r="G21" s="92">
        <f t="shared" si="2"/>
        <v>0</v>
      </c>
    </row>
    <row r="22" spans="1:14">
      <c r="A22" s="16"/>
      <c r="B22" s="13"/>
      <c r="C22" s="13"/>
      <c r="D22" s="29"/>
      <c r="E22" s="17"/>
      <c r="F22" s="17"/>
      <c r="G22" s="92"/>
    </row>
    <row r="23" spans="1:14">
      <c r="A23" s="16"/>
      <c r="D23" s="17"/>
    </row>
    <row r="24" spans="1:14">
      <c r="B24" s="34" t="s">
        <v>160</v>
      </c>
      <c r="C24" s="34"/>
      <c r="D24" s="91"/>
    </row>
    <row r="25" spans="1:14">
      <c r="B25" s="34" t="s">
        <v>161</v>
      </c>
      <c r="C25" s="34"/>
      <c r="D25" s="91"/>
    </row>
    <row r="26" spans="1:14" ht="15">
      <c r="B26" s="56" t="str">
        <f>'von Kries'!F10</f>
        <v>u'k,i</v>
      </c>
      <c r="C26" s="56" t="str">
        <f>'von Kries'!G10</f>
        <v>v'k,i</v>
      </c>
      <c r="D26" s="93" t="s">
        <v>166</v>
      </c>
      <c r="E26" s="97" t="s">
        <v>61</v>
      </c>
      <c r="F26" s="97" t="s">
        <v>60</v>
      </c>
      <c r="G26" s="98" t="s">
        <v>167</v>
      </c>
      <c r="H26" s="97" t="s">
        <v>20</v>
      </c>
    </row>
    <row r="27" spans="1:14" ht="12.9" customHeight="1">
      <c r="A27" s="41" t="s">
        <v>6</v>
      </c>
      <c r="B27" s="36">
        <f>'von Kries'!F11</f>
        <v>0.24672293257032749</v>
      </c>
      <c r="C27" s="36">
        <f>'von Kries'!G11</f>
        <v>0.3280491919302902</v>
      </c>
      <c r="D27" s="91">
        <f>Chromaticity!P22</f>
        <v>30.585640003736341</v>
      </c>
      <c r="E27" s="17">
        <f>25*D27^(1/3)-17</f>
        <v>61.183036345995802</v>
      </c>
      <c r="F27" s="17">
        <f>13*E27*(B27-$B$42)</f>
        <v>36.293642055202731</v>
      </c>
      <c r="G27" s="92">
        <f>13*E27*(C27-$C$42)</f>
        <v>9.1503787919519262</v>
      </c>
      <c r="H27" s="17">
        <f t="shared" ref="H27:H42" si="3">SQRT((F6-F27)^2+(G6-G27)^2+(E6-E27)^2)</f>
        <v>3.6147961741820298</v>
      </c>
      <c r="I27" s="148" t="s">
        <v>45</v>
      </c>
      <c r="J27" s="149">
        <f>100-4.6*H27</f>
        <v>83.371937598762656</v>
      </c>
      <c r="K27" s="126" t="s">
        <v>111</v>
      </c>
      <c r="L27" s="127">
        <f>Reference!G13</f>
        <v>0.32322026680643018</v>
      </c>
      <c r="M27" s="20">
        <v>91.688789821214201</v>
      </c>
      <c r="N27" s="20">
        <f>J27-M27</f>
        <v>-8.3168522224515442</v>
      </c>
    </row>
    <row r="28" spans="1:14" ht="12.9" customHeight="1">
      <c r="A28" s="41" t="s">
        <v>7</v>
      </c>
      <c r="B28" s="36">
        <f>'von Kries'!F12</f>
        <v>0.22188382875241749</v>
      </c>
      <c r="C28" s="36">
        <f>'von Kries'!G12</f>
        <v>0.34619008073520652</v>
      </c>
      <c r="D28" s="91">
        <f>Chromaticity!P23</f>
        <v>29.252834947224212</v>
      </c>
      <c r="E28" s="17">
        <f t="shared" ref="E28:E42" si="4">25*D28^(1/3)-17</f>
        <v>60.030490317124986</v>
      </c>
      <c r="F28" s="17">
        <f t="shared" ref="F28:F42" si="5">13*E28*(B28-$B$42)</f>
        <v>16.225607739992522</v>
      </c>
      <c r="G28" s="92">
        <f t="shared" ref="G28:G42" si="6">13*E28*(C28-$C$42)</f>
        <v>23.135090795604427</v>
      </c>
      <c r="H28" s="17">
        <f t="shared" si="3"/>
        <v>1.0697409782280876</v>
      </c>
      <c r="I28" s="150" t="s">
        <v>44</v>
      </c>
      <c r="J28" s="151">
        <f t="shared" ref="J28:J40" si="7">100-4.6*H28</f>
        <v>95.079191500150799</v>
      </c>
      <c r="K28" s="126" t="s">
        <v>112</v>
      </c>
      <c r="L28" s="127">
        <f>Reference!G14</f>
        <v>0.32876849751455639</v>
      </c>
      <c r="M28" s="20">
        <v>96.53848366511312</v>
      </c>
      <c r="N28" s="20">
        <f t="shared" ref="N28:N41" si="8">J28-M28</f>
        <v>-1.4592921649623207</v>
      </c>
    </row>
    <row r="29" spans="1:14" ht="12.9" customHeight="1">
      <c r="A29" s="41" t="s">
        <v>8</v>
      </c>
      <c r="B29" s="36">
        <f>'von Kries'!F13</f>
        <v>0.17845426007649781</v>
      </c>
      <c r="C29" s="36">
        <f>'von Kries'!G13</f>
        <v>0.36331804693995956</v>
      </c>
      <c r="D29" s="91">
        <f>Chromaticity!P24</f>
        <v>31.740106485661805</v>
      </c>
      <c r="E29" s="17">
        <f t="shared" si="4"/>
        <v>62.154595731534613</v>
      </c>
      <c r="F29" s="17">
        <f t="shared" si="5"/>
        <v>-18.291783682479519</v>
      </c>
      <c r="G29" s="92">
        <f t="shared" si="6"/>
        <v>37.793261259995603</v>
      </c>
      <c r="H29" s="17">
        <f t="shared" si="3"/>
        <v>10.634376880006748</v>
      </c>
      <c r="I29" s="150" t="s">
        <v>46</v>
      </c>
      <c r="J29" s="151">
        <f t="shared" si="7"/>
        <v>51.081866351968962</v>
      </c>
      <c r="K29" s="126" t="s">
        <v>130</v>
      </c>
      <c r="L29" s="127">
        <f>Reference!G15</f>
        <v>0.20525891876817345</v>
      </c>
      <c r="M29" s="20">
        <v>53.870527939361388</v>
      </c>
      <c r="N29" s="20">
        <f t="shared" si="8"/>
        <v>-2.7886615873924256</v>
      </c>
    </row>
    <row r="30" spans="1:14" ht="12.9" customHeight="1">
      <c r="A30" s="41" t="s">
        <v>9</v>
      </c>
      <c r="B30" s="36">
        <f>'von Kries'!F14</f>
        <v>0.15507710090265295</v>
      </c>
      <c r="C30" s="36">
        <f>'von Kries'!G14</f>
        <v>0.34064967438800159</v>
      </c>
      <c r="D30" s="91">
        <f>Chromaticity!P25</f>
        <v>29.441943519008628</v>
      </c>
      <c r="E30" s="17">
        <f t="shared" si="4"/>
        <v>60.196124952284151</v>
      </c>
      <c r="F30" s="17">
        <f t="shared" si="5"/>
        <v>-36.009202751738762</v>
      </c>
      <c r="G30" s="92">
        <f t="shared" si="6"/>
        <v>18.863281656546828</v>
      </c>
      <c r="H30" s="17">
        <f t="shared" si="3"/>
        <v>2.5456352120566379</v>
      </c>
      <c r="I30" s="150" t="s">
        <v>47</v>
      </c>
      <c r="J30" s="151">
        <f t="shared" si="7"/>
        <v>88.290078024539469</v>
      </c>
      <c r="K30" s="126" t="s">
        <v>131</v>
      </c>
      <c r="L30" s="127">
        <f>Reference!G16</f>
        <v>0.31317342964738365</v>
      </c>
      <c r="M30" s="20">
        <v>92.978921697454467</v>
      </c>
      <c r="N30" s="20">
        <f t="shared" si="8"/>
        <v>-4.6888436729149987</v>
      </c>
    </row>
    <row r="31" spans="1:14" ht="12.9" customHeight="1">
      <c r="A31" s="41" t="s">
        <v>10</v>
      </c>
      <c r="B31" s="36">
        <f>'von Kries'!F15</f>
        <v>0.16710567307399743</v>
      </c>
      <c r="C31" s="36">
        <f>'von Kries'!G15</f>
        <v>0.30640786351524218</v>
      </c>
      <c r="D31" s="91">
        <f>Chromaticity!P26</f>
        <v>30.355297817355293</v>
      </c>
      <c r="E31" s="17">
        <f t="shared" si="4"/>
        <v>60.986274617379351</v>
      </c>
      <c r="F31" s="17">
        <f t="shared" si="5"/>
        <v>-26.945357242762935</v>
      </c>
      <c r="G31" s="92">
        <f t="shared" si="6"/>
        <v>-8.0367603615579224</v>
      </c>
      <c r="H31" s="17">
        <f t="shared" si="3"/>
        <v>1.8985698105879405</v>
      </c>
      <c r="I31" s="150" t="s">
        <v>48</v>
      </c>
      <c r="J31" s="151">
        <f t="shared" si="7"/>
        <v>91.266578871295479</v>
      </c>
      <c r="K31" s="115" t="s">
        <v>30</v>
      </c>
      <c r="L31" s="116">
        <f>Reference!G17</f>
        <v>5952.1491044527911</v>
      </c>
      <c r="M31" s="20">
        <v>90.906565255036654</v>
      </c>
      <c r="N31" s="20">
        <f t="shared" si="8"/>
        <v>0.36001361625882566</v>
      </c>
    </row>
    <row r="32" spans="1:14" ht="12.9" customHeight="1">
      <c r="A32" s="41" t="s">
        <v>11</v>
      </c>
      <c r="B32" s="36">
        <f>'von Kries'!F16</f>
        <v>0.1767416603127355</v>
      </c>
      <c r="C32" s="36">
        <f>'von Kries'!G16</f>
        <v>0.2777667747052146</v>
      </c>
      <c r="D32" s="91">
        <f>Chromaticity!P27</f>
        <v>29.229769281066105</v>
      </c>
      <c r="E32" s="17">
        <f t="shared" si="4"/>
        <v>60.010238983431051</v>
      </c>
      <c r="F32" s="17">
        <f t="shared" si="5"/>
        <v>-18.996766093537467</v>
      </c>
      <c r="G32" s="92">
        <f t="shared" si="6"/>
        <v>-30.252000155342756</v>
      </c>
      <c r="H32" s="17">
        <f t="shared" si="3"/>
        <v>2.7256599089573421</v>
      </c>
      <c r="I32" s="150" t="s">
        <v>49</v>
      </c>
      <c r="J32" s="151">
        <f t="shared" si="7"/>
        <v>87.461964418796228</v>
      </c>
      <c r="K32" s="126" t="s">
        <v>31</v>
      </c>
      <c r="L32" s="127">
        <f>Reference!G18</f>
        <v>2.1110342799350941E-3</v>
      </c>
      <c r="M32" s="20">
        <v>85.723382267262664</v>
      </c>
      <c r="N32" s="20">
        <f t="shared" si="8"/>
        <v>1.7385821515335635</v>
      </c>
    </row>
    <row r="33" spans="1:14" ht="12.9" customHeight="1">
      <c r="A33" s="41" t="s">
        <v>96</v>
      </c>
      <c r="B33" s="36">
        <f>'von Kries'!F17</f>
        <v>0.207583214984983</v>
      </c>
      <c r="C33" s="36">
        <f>'von Kries'!G17</f>
        <v>0.28306727531271209</v>
      </c>
      <c r="D33" s="91">
        <f>Chromaticity!P28</f>
        <v>28.50222623532709</v>
      </c>
      <c r="E33" s="17">
        <f t="shared" si="4"/>
        <v>59.365922603759429</v>
      </c>
      <c r="F33" s="17">
        <f t="shared" si="5"/>
        <v>5.009383412124941</v>
      </c>
      <c r="G33" s="92">
        <f t="shared" si="6"/>
        <v>-25.83649284885546</v>
      </c>
      <c r="H33" s="17">
        <f t="shared" si="3"/>
        <v>5.247817324343746</v>
      </c>
      <c r="I33" s="150" t="s">
        <v>50</v>
      </c>
      <c r="J33" s="151">
        <f t="shared" si="7"/>
        <v>75.860040308018768</v>
      </c>
      <c r="K33" s="18"/>
      <c r="M33" s="20">
        <v>84.495633719269009</v>
      </c>
      <c r="N33" s="20">
        <f t="shared" si="8"/>
        <v>-8.635593411250241</v>
      </c>
    </row>
    <row r="34" spans="1:14" ht="12.9" customHeight="1">
      <c r="A34" s="41" t="s">
        <v>97</v>
      </c>
      <c r="B34" s="36">
        <f>'von Kries'!F18</f>
        <v>0.22045997237879736</v>
      </c>
      <c r="C34" s="36">
        <f>'von Kries'!G18</f>
        <v>0.29572577608211609</v>
      </c>
      <c r="D34" s="91">
        <f>Chromaticity!P29</f>
        <v>29.516788616620481</v>
      </c>
      <c r="E34" s="17">
        <f t="shared" si="4"/>
        <v>60.26148366390558</v>
      </c>
      <c r="F34" s="17">
        <f t="shared" si="5"/>
        <v>15.172594734052375</v>
      </c>
      <c r="G34" s="92">
        <f t="shared" si="6"/>
        <v>-16.30958722486011</v>
      </c>
      <c r="H34" s="17">
        <f t="shared" si="3"/>
        <v>15.088640795785963</v>
      </c>
      <c r="I34" s="152" t="s">
        <v>51</v>
      </c>
      <c r="J34" s="153">
        <f t="shared" si="7"/>
        <v>30.592252339384572</v>
      </c>
      <c r="K34" s="18"/>
      <c r="M34" s="20">
        <v>43.797695643831794</v>
      </c>
      <c r="N34" s="20">
        <f t="shared" si="8"/>
        <v>-13.205443304447222</v>
      </c>
    </row>
    <row r="35" spans="1:14" ht="12.9" customHeight="1">
      <c r="A35" s="41" t="s">
        <v>98</v>
      </c>
      <c r="B35" s="36">
        <f>'von Kries'!F19</f>
        <v>0.32543789502918841</v>
      </c>
      <c r="C35" s="36">
        <f>'von Kries'!G19</f>
        <v>0.34006024773878901</v>
      </c>
      <c r="D35" s="91">
        <f>Chromaticity!P30</f>
        <v>9.4308434785316191</v>
      </c>
      <c r="E35" s="17">
        <f t="shared" si="4"/>
        <v>35.819001587040226</v>
      </c>
      <c r="F35" s="17">
        <f t="shared" si="5"/>
        <v>57.901140393499588</v>
      </c>
      <c r="G35" s="92">
        <f t="shared" si="6"/>
        <v>10.949910828003603</v>
      </c>
      <c r="H35" s="17">
        <f t="shared" si="3"/>
        <v>51.140522158863163</v>
      </c>
      <c r="I35" s="154" t="s">
        <v>52</v>
      </c>
      <c r="J35" s="155">
        <f t="shared" si="7"/>
        <v>-135.24640193077053</v>
      </c>
      <c r="K35" s="147" t="s">
        <v>67</v>
      </c>
      <c r="M35" s="20">
        <v>-72.740628672655447</v>
      </c>
      <c r="N35" s="20">
        <f t="shared" si="8"/>
        <v>-62.505773258115084</v>
      </c>
    </row>
    <row r="36" spans="1:14" ht="12.9" customHeight="1">
      <c r="A36" s="41" t="s">
        <v>99</v>
      </c>
      <c r="B36" s="36">
        <f>'von Kries'!F20</f>
        <v>0.22079373469890687</v>
      </c>
      <c r="C36" s="36">
        <f>'von Kries'!G20</f>
        <v>0.36551152893654748</v>
      </c>
      <c r="D36" s="91">
        <f>Chromaticity!P31</f>
        <v>61.195868231777567</v>
      </c>
      <c r="E36" s="17">
        <f t="shared" si="4"/>
        <v>81.517649653937212</v>
      </c>
      <c r="F36" s="17">
        <f t="shared" si="5"/>
        <v>20.878155283723228</v>
      </c>
      <c r="G36" s="92">
        <f t="shared" si="6"/>
        <v>51.891513292210384</v>
      </c>
      <c r="H36" s="17">
        <f t="shared" si="3"/>
        <v>8.5599296855954119</v>
      </c>
      <c r="I36" s="154" t="s">
        <v>53</v>
      </c>
      <c r="J36" s="155">
        <f t="shared" si="7"/>
        <v>60.624323446261108</v>
      </c>
      <c r="K36" s="147" t="s">
        <v>68</v>
      </c>
      <c r="M36" s="20">
        <v>54.188195636219724</v>
      </c>
      <c r="N36" s="20">
        <f t="shared" si="8"/>
        <v>6.4361278100413841</v>
      </c>
    </row>
    <row r="37" spans="1:14" ht="12.9" customHeight="1">
      <c r="A37" s="41" t="s">
        <v>100</v>
      </c>
      <c r="B37" s="36">
        <f>'von Kries'!F21</f>
        <v>0.13311542967776832</v>
      </c>
      <c r="C37" s="36">
        <f>'von Kries'!G21</f>
        <v>0.3452054305792569</v>
      </c>
      <c r="D37" s="91">
        <f>Chromaticity!P32</f>
        <v>20.980907307656381</v>
      </c>
      <c r="E37" s="17">
        <f t="shared" si="4"/>
        <v>51.952195178469523</v>
      </c>
      <c r="F37" s="17">
        <f t="shared" si="5"/>
        <v>-45.910141673866541</v>
      </c>
      <c r="G37" s="92">
        <f t="shared" si="6"/>
        <v>19.356793106410866</v>
      </c>
      <c r="H37" s="17">
        <f t="shared" si="3"/>
        <v>5.1598428382055115</v>
      </c>
      <c r="I37" s="154" t="s">
        <v>54</v>
      </c>
      <c r="J37" s="155">
        <f t="shared" si="7"/>
        <v>76.264722944254657</v>
      </c>
      <c r="K37" s="147" t="s">
        <v>69</v>
      </c>
      <c r="M37" s="20">
        <v>84.790927286210987</v>
      </c>
      <c r="N37" s="20">
        <f t="shared" si="8"/>
        <v>-8.5262043419563298</v>
      </c>
    </row>
    <row r="38" spans="1:14" ht="12.9" customHeight="1">
      <c r="A38" s="41" t="s">
        <v>101</v>
      </c>
      <c r="B38" s="36">
        <f>'von Kries'!F22</f>
        <v>0.15928801462490441</v>
      </c>
      <c r="C38" s="36">
        <f>'von Kries'!G22</f>
        <v>0.17064036020365445</v>
      </c>
      <c r="D38" s="91">
        <f>Chromaticity!P33</f>
        <v>5.4536040103372052</v>
      </c>
      <c r="E38" s="17">
        <f t="shared" si="4"/>
        <v>27.004917264068141</v>
      </c>
      <c r="F38" s="17">
        <f t="shared" si="5"/>
        <v>-14.67598813798074</v>
      </c>
      <c r="G38" s="92">
        <f t="shared" si="6"/>
        <v>-51.22177569019486</v>
      </c>
      <c r="H38" s="17">
        <f t="shared" si="3"/>
        <v>16.323517682935961</v>
      </c>
      <c r="I38" s="154" t="s">
        <v>55</v>
      </c>
      <c r="J38" s="155">
        <f t="shared" si="7"/>
        <v>24.911818658494582</v>
      </c>
      <c r="K38" s="147" t="s">
        <v>70</v>
      </c>
      <c r="M38" s="20">
        <v>28.53849621589265</v>
      </c>
      <c r="N38" s="20">
        <f t="shared" si="8"/>
        <v>-3.6266775573980681</v>
      </c>
    </row>
    <row r="39" spans="1:14" ht="12.9" customHeight="1">
      <c r="A39" s="41" t="s">
        <v>102</v>
      </c>
      <c r="B39" s="36">
        <f>'von Kries'!F23</f>
        <v>0.23470113485722899</v>
      </c>
      <c r="C39" s="36">
        <f>'von Kries'!G23</f>
        <v>0.33272347966098592</v>
      </c>
      <c r="D39" s="91">
        <f>Chromaticity!P34</f>
        <v>57.442762399975088</v>
      </c>
      <c r="E39" s="17">
        <f t="shared" si="4"/>
        <v>79.461004674307233</v>
      </c>
      <c r="F39" s="17">
        <f t="shared" si="5"/>
        <v>34.717658890326909</v>
      </c>
      <c r="G39" s="92">
        <f t="shared" si="6"/>
        <v>16.712491884118325</v>
      </c>
      <c r="H39" s="17">
        <f t="shared" si="3"/>
        <v>4.2261018888994144</v>
      </c>
      <c r="I39" s="154" t="s">
        <v>56</v>
      </c>
      <c r="J39" s="155">
        <f t="shared" si="7"/>
        <v>80.559931311062698</v>
      </c>
      <c r="K39" s="18"/>
      <c r="M39" s="20">
        <v>88.524544704870664</v>
      </c>
      <c r="N39" s="20">
        <f t="shared" si="8"/>
        <v>-7.9646133938079657</v>
      </c>
    </row>
    <row r="40" spans="1:14" ht="12.9" customHeight="1">
      <c r="A40" s="41" t="s">
        <v>103</v>
      </c>
      <c r="B40" s="36">
        <f>'von Kries'!F24</f>
        <v>0.17620884823355551</v>
      </c>
      <c r="C40" s="36">
        <f>'von Kries'!G24</f>
        <v>0.3539164201407376</v>
      </c>
      <c r="D40" s="91">
        <f>Chromaticity!P35</f>
        <v>12.116119189214434</v>
      </c>
      <c r="E40" s="17">
        <f t="shared" si="4"/>
        <v>40.419735504618053</v>
      </c>
      <c r="F40" s="17">
        <f t="shared" si="5"/>
        <v>-13.075190451243902</v>
      </c>
      <c r="G40" s="92">
        <f t="shared" si="6"/>
        <v>19.637177293467076</v>
      </c>
      <c r="H40" s="17">
        <f t="shared" si="3"/>
        <v>6.7816671135326354</v>
      </c>
      <c r="I40" s="154" t="s">
        <v>57</v>
      </c>
      <c r="J40" s="155">
        <f t="shared" si="7"/>
        <v>68.804331277749881</v>
      </c>
      <c r="M40" s="20">
        <v>67.853397203239055</v>
      </c>
      <c r="N40" s="20">
        <f t="shared" si="8"/>
        <v>0.95093407451082612</v>
      </c>
    </row>
    <row r="41" spans="1:14" ht="12.9" customHeight="1">
      <c r="A41" s="41" t="s">
        <v>40</v>
      </c>
      <c r="B41" s="36">
        <f>'von Kries'!F25</f>
        <v>0.23648484509423481</v>
      </c>
      <c r="C41" s="36">
        <f>'von Kries'!G25</f>
        <v>0.33018869366945253</v>
      </c>
      <c r="D41" s="91">
        <f>Chromaticity!P36</f>
        <v>33.89473487561105</v>
      </c>
      <c r="E41" s="17">
        <f t="shared" si="4"/>
        <v>63.906625747550237</v>
      </c>
      <c r="F41" s="17">
        <f>13*E41*(B41-$B$42)</f>
        <v>29.40360815276701</v>
      </c>
      <c r="G41" s="92">
        <f>13*E41*(C41-$C$42)</f>
        <v>11.335180253024259</v>
      </c>
      <c r="H41" s="17">
        <f t="shared" si="3"/>
        <v>1.5985435899902658</v>
      </c>
      <c r="I41" s="154" t="s">
        <v>41</v>
      </c>
      <c r="J41" s="155">
        <f>100-4.6*H41</f>
        <v>92.646699486044781</v>
      </c>
      <c r="K41" s="147" t="s">
        <v>39</v>
      </c>
      <c r="M41" s="20">
        <v>91.666341141331344</v>
      </c>
      <c r="N41" s="20">
        <f t="shared" si="8"/>
        <v>0.98035834471343719</v>
      </c>
    </row>
    <row r="42" spans="1:14">
      <c r="A42" t="s">
        <v>59</v>
      </c>
      <c r="B42" s="36">
        <f>'von Kries'!F27</f>
        <v>0.20109233320217937</v>
      </c>
      <c r="C42" s="36">
        <f>'von Kries'!G27</f>
        <v>0.31654477283431515</v>
      </c>
      <c r="D42" s="91">
        <f>Chromaticity!P37</f>
        <v>100</v>
      </c>
      <c r="E42" s="17">
        <f t="shared" si="4"/>
        <v>99.03972084031949</v>
      </c>
      <c r="F42" s="17">
        <f t="shared" si="5"/>
        <v>0</v>
      </c>
      <c r="G42" s="92">
        <f t="shared" si="6"/>
        <v>0</v>
      </c>
      <c r="H42" s="17">
        <f t="shared" si="3"/>
        <v>0</v>
      </c>
      <c r="J42" s="20"/>
    </row>
    <row r="43" spans="1:14" ht="17.399999999999999">
      <c r="I43" s="156" t="s">
        <v>43</v>
      </c>
      <c r="J43" s="177">
        <f>AVERAGE(J27:J34)</f>
        <v>75.375488676614609</v>
      </c>
    </row>
    <row r="45" spans="1:14" ht="17.399999999999999">
      <c r="I45" s="157" t="s">
        <v>12</v>
      </c>
      <c r="J45" s="158">
        <f>AVERAGE(J27:J40)</f>
        <v>55.6373310799978</v>
      </c>
    </row>
  </sheetData>
  <phoneticPr fontId="0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9"/>
  <sheetViews>
    <sheetView workbookViewId="0">
      <selection activeCell="R2" sqref="R2"/>
    </sheetView>
  </sheetViews>
  <sheetFormatPr defaultColWidth="11.375" defaultRowHeight="11.4"/>
  <cols>
    <col min="1" max="8" width="11.375" customWidth="1"/>
    <col min="9" max="9" width="12.25" bestFit="1" customWidth="1"/>
    <col min="10" max="15" width="11.375" customWidth="1"/>
    <col min="16" max="16" width="12.25" customWidth="1"/>
  </cols>
  <sheetData>
    <row r="1" spans="1:16">
      <c r="A1" t="s">
        <v>5</v>
      </c>
    </row>
    <row r="2" spans="1:16">
      <c r="B2" t="s">
        <v>21</v>
      </c>
      <c r="C2" t="s">
        <v>22</v>
      </c>
      <c r="D2" t="s">
        <v>0</v>
      </c>
      <c r="E2" t="s">
        <v>1</v>
      </c>
      <c r="F2" t="s">
        <v>2</v>
      </c>
      <c r="G2" t="s">
        <v>3</v>
      </c>
      <c r="H2" t="s">
        <v>4</v>
      </c>
      <c r="I2" s="41" t="s">
        <v>34</v>
      </c>
      <c r="J2" t="s">
        <v>33</v>
      </c>
      <c r="K2" t="s">
        <v>35</v>
      </c>
      <c r="L2" t="s">
        <v>126</v>
      </c>
      <c r="M2" t="s">
        <v>32</v>
      </c>
      <c r="N2" t="s">
        <v>164</v>
      </c>
      <c r="O2" t="s">
        <v>150</v>
      </c>
      <c r="P2" s="41" t="s">
        <v>39</v>
      </c>
    </row>
    <row r="3" spans="1:16">
      <c r="B3" t="s">
        <v>36</v>
      </c>
      <c r="C3" t="s">
        <v>37</v>
      </c>
      <c r="D3" t="s">
        <v>176</v>
      </c>
      <c r="E3" t="s">
        <v>177</v>
      </c>
      <c r="F3" t="s">
        <v>178</v>
      </c>
      <c r="G3" t="s">
        <v>179</v>
      </c>
      <c r="H3" t="s">
        <v>180</v>
      </c>
      <c r="I3" t="s">
        <v>181</v>
      </c>
      <c r="J3" t="s">
        <v>67</v>
      </c>
      <c r="K3" t="s">
        <v>68</v>
      </c>
      <c r="L3" t="s">
        <v>69</v>
      </c>
      <c r="M3" t="s">
        <v>70</v>
      </c>
      <c r="N3" t="s">
        <v>71</v>
      </c>
      <c r="O3" t="s">
        <v>72</v>
      </c>
    </row>
    <row r="4" spans="1:16">
      <c r="A4" t="s">
        <v>104</v>
      </c>
      <c r="B4" t="s">
        <v>6</v>
      </c>
      <c r="C4" t="s">
        <v>7</v>
      </c>
      <c r="D4" t="s">
        <v>8</v>
      </c>
      <c r="E4" t="s">
        <v>9</v>
      </c>
      <c r="F4" t="s">
        <v>10</v>
      </c>
      <c r="G4" t="s">
        <v>11</v>
      </c>
      <c r="H4" t="s">
        <v>96</v>
      </c>
      <c r="I4" t="s">
        <v>97</v>
      </c>
      <c r="J4" t="s">
        <v>98</v>
      </c>
      <c r="K4" t="s">
        <v>99</v>
      </c>
      <c r="L4" t="s">
        <v>100</v>
      </c>
      <c r="M4" t="s">
        <v>101</v>
      </c>
      <c r="N4" t="s">
        <v>102</v>
      </c>
      <c r="O4" t="s">
        <v>103</v>
      </c>
      <c r="P4" t="s">
        <v>40</v>
      </c>
    </row>
    <row r="5" spans="1:16">
      <c r="A5">
        <v>360</v>
      </c>
      <c r="B5">
        <v>0.11600000000000001</v>
      </c>
      <c r="C5">
        <v>5.2999999999999999E-2</v>
      </c>
      <c r="D5">
        <v>5.8000000000000003E-2</v>
      </c>
      <c r="E5">
        <v>5.7000000000000002E-2</v>
      </c>
      <c r="F5">
        <v>0.14299999999999999</v>
      </c>
      <c r="G5">
        <v>7.9000000000000001E-2</v>
      </c>
      <c r="H5">
        <v>0.15</v>
      </c>
      <c r="I5">
        <v>7.4999999999999997E-2</v>
      </c>
      <c r="J5">
        <v>6.9000000000000006E-2</v>
      </c>
      <c r="K5">
        <v>4.2000000000000003E-2</v>
      </c>
      <c r="L5">
        <v>7.3999999999999996E-2</v>
      </c>
      <c r="M5">
        <v>0.189</v>
      </c>
      <c r="N5">
        <v>7.0999999999999994E-2</v>
      </c>
      <c r="O5">
        <v>3.5999999999999997E-2</v>
      </c>
    </row>
    <row r="6" spans="1:16">
      <c r="A6">
        <f>5+A5</f>
        <v>365</v>
      </c>
      <c r="B6">
        <v>0.13600000000000001</v>
      </c>
      <c r="C6">
        <v>5.5E-2</v>
      </c>
      <c r="D6">
        <v>5.8999999999999997E-2</v>
      </c>
      <c r="E6">
        <v>5.8999999999999997E-2</v>
      </c>
      <c r="F6">
        <v>0.187</v>
      </c>
      <c r="G6">
        <v>8.1000000000000003E-2</v>
      </c>
      <c r="H6">
        <v>0.17699999999999999</v>
      </c>
      <c r="I6">
        <v>7.8E-2</v>
      </c>
      <c r="J6">
        <v>7.1999999999999995E-2</v>
      </c>
      <c r="K6">
        <v>4.2999999999999997E-2</v>
      </c>
      <c r="L6">
        <v>7.9000000000000001E-2</v>
      </c>
      <c r="M6">
        <v>0.17499999999999999</v>
      </c>
      <c r="N6">
        <v>7.5999999999999998E-2</v>
      </c>
      <c r="O6">
        <v>3.5999999999999997E-2</v>
      </c>
    </row>
    <row r="7" spans="1:16">
      <c r="A7">
        <f t="shared" ref="A7:A70" si="0">5+A6</f>
        <v>370</v>
      </c>
      <c r="B7">
        <v>0.159</v>
      </c>
      <c r="C7">
        <v>5.8999999999999997E-2</v>
      </c>
      <c r="D7">
        <v>6.0999999999999999E-2</v>
      </c>
      <c r="E7">
        <v>6.2E-2</v>
      </c>
      <c r="F7">
        <v>0.23300000000000001</v>
      </c>
      <c r="G7">
        <v>8.8999999999999996E-2</v>
      </c>
      <c r="H7">
        <v>0.218</v>
      </c>
      <c r="I7">
        <v>8.4000000000000005E-2</v>
      </c>
      <c r="J7">
        <v>7.2999999999999995E-2</v>
      </c>
      <c r="K7">
        <v>4.4999999999999998E-2</v>
      </c>
      <c r="L7">
        <v>8.5999999999999993E-2</v>
      </c>
      <c r="M7">
        <v>0.158</v>
      </c>
      <c r="N7">
        <v>8.2000000000000003E-2</v>
      </c>
      <c r="O7">
        <v>3.5999999999999997E-2</v>
      </c>
    </row>
    <row r="8" spans="1:16">
      <c r="A8">
        <f t="shared" si="0"/>
        <v>375</v>
      </c>
      <c r="B8">
        <v>0.19</v>
      </c>
      <c r="C8">
        <v>6.4000000000000001E-2</v>
      </c>
      <c r="D8">
        <v>6.3E-2</v>
      </c>
      <c r="E8">
        <v>6.7000000000000004E-2</v>
      </c>
      <c r="F8">
        <v>0.26900000000000002</v>
      </c>
      <c r="G8">
        <v>0.113</v>
      </c>
      <c r="H8">
        <v>0.29299999999999998</v>
      </c>
      <c r="I8">
        <v>0.09</v>
      </c>
      <c r="J8">
        <v>7.0000000000000007E-2</v>
      </c>
      <c r="K8">
        <v>4.7E-2</v>
      </c>
      <c r="L8">
        <v>9.8000000000000004E-2</v>
      </c>
      <c r="M8">
        <v>0.13900000000000001</v>
      </c>
      <c r="N8">
        <v>0.09</v>
      </c>
      <c r="O8">
        <v>3.5999999999999997E-2</v>
      </c>
    </row>
    <row r="9" spans="1:16">
      <c r="A9">
        <f t="shared" si="0"/>
        <v>380</v>
      </c>
      <c r="B9">
        <v>0.219</v>
      </c>
      <c r="C9">
        <v>7.0000000000000007E-2</v>
      </c>
      <c r="D9">
        <v>6.5000000000000002E-2</v>
      </c>
      <c r="E9">
        <v>7.3999999999999996E-2</v>
      </c>
      <c r="F9">
        <v>0.29499999999999998</v>
      </c>
      <c r="G9">
        <v>0.151</v>
      </c>
      <c r="H9">
        <v>0.378</v>
      </c>
      <c r="I9">
        <v>0.104</v>
      </c>
      <c r="J9">
        <v>6.6000000000000003E-2</v>
      </c>
      <c r="K9">
        <v>0.05</v>
      </c>
      <c r="L9">
        <v>0.111</v>
      </c>
      <c r="M9">
        <v>0.12</v>
      </c>
      <c r="N9">
        <v>0.104</v>
      </c>
      <c r="O9">
        <v>3.5999999999999997E-2</v>
      </c>
      <c r="P9">
        <v>0.13100000000000001</v>
      </c>
    </row>
    <row r="10" spans="1:16">
      <c r="A10">
        <f t="shared" si="0"/>
        <v>385</v>
      </c>
      <c r="B10">
        <v>0.23899999999999999</v>
      </c>
      <c r="C10">
        <v>7.9000000000000001E-2</v>
      </c>
      <c r="D10">
        <v>6.8000000000000005E-2</v>
      </c>
      <c r="E10">
        <v>8.3000000000000004E-2</v>
      </c>
      <c r="F10">
        <v>0.30599999999999999</v>
      </c>
      <c r="G10">
        <v>0.20300000000000001</v>
      </c>
      <c r="H10">
        <v>0.45900000000000002</v>
      </c>
      <c r="I10">
        <v>0.129</v>
      </c>
      <c r="J10">
        <v>6.2E-2</v>
      </c>
      <c r="K10">
        <v>5.3999999999999999E-2</v>
      </c>
      <c r="L10">
        <v>0.121</v>
      </c>
      <c r="M10">
        <v>0.10299999999999999</v>
      </c>
      <c r="N10">
        <v>0.127</v>
      </c>
      <c r="O10">
        <v>3.5999999999999997E-2</v>
      </c>
      <c r="P10">
        <v>0.13900000000000001</v>
      </c>
    </row>
    <row r="11" spans="1:16">
      <c r="A11">
        <f t="shared" si="0"/>
        <v>390</v>
      </c>
      <c r="B11">
        <v>0.252</v>
      </c>
      <c r="C11">
        <v>8.8999999999999996E-2</v>
      </c>
      <c r="D11">
        <v>7.0000000000000007E-2</v>
      </c>
      <c r="E11">
        <v>9.2999999999999999E-2</v>
      </c>
      <c r="F11">
        <v>0.31</v>
      </c>
      <c r="G11">
        <v>0.26500000000000001</v>
      </c>
      <c r="H11">
        <v>0.52400000000000002</v>
      </c>
      <c r="I11">
        <v>0.17</v>
      </c>
      <c r="J11">
        <v>5.8000000000000003E-2</v>
      </c>
      <c r="K11">
        <v>5.8999999999999997E-2</v>
      </c>
      <c r="L11">
        <v>0.127</v>
      </c>
      <c r="M11">
        <v>0.09</v>
      </c>
      <c r="N11">
        <v>0.161</v>
      </c>
      <c r="O11">
        <v>3.6999999999999998E-2</v>
      </c>
      <c r="P11">
        <v>0.14699999999999999</v>
      </c>
    </row>
    <row r="12" spans="1:16">
      <c r="A12">
        <f t="shared" si="0"/>
        <v>395</v>
      </c>
      <c r="B12">
        <v>0.25600000000000001</v>
      </c>
      <c r="C12">
        <v>0.10100000000000001</v>
      </c>
      <c r="D12">
        <v>7.1999999999999995E-2</v>
      </c>
      <c r="E12">
        <v>0.105</v>
      </c>
      <c r="F12">
        <v>0.312</v>
      </c>
      <c r="G12">
        <v>0.33900000000000002</v>
      </c>
      <c r="H12">
        <v>0.54600000000000004</v>
      </c>
      <c r="I12">
        <v>0.24</v>
      </c>
      <c r="J12">
        <v>5.5E-2</v>
      </c>
      <c r="K12">
        <v>6.3E-2</v>
      </c>
      <c r="L12">
        <v>0.129</v>
      </c>
      <c r="M12">
        <v>8.2000000000000003E-2</v>
      </c>
      <c r="N12">
        <v>0.21099999999999999</v>
      </c>
      <c r="O12">
        <v>3.7999999999999999E-2</v>
      </c>
      <c r="P12">
        <v>0.153</v>
      </c>
    </row>
    <row r="13" spans="1:16">
      <c r="A13">
        <f t="shared" si="0"/>
        <v>400</v>
      </c>
      <c r="B13">
        <v>0.25600000000000001</v>
      </c>
      <c r="C13">
        <v>0.111</v>
      </c>
      <c r="D13">
        <v>7.2999999999999995E-2</v>
      </c>
      <c r="E13">
        <v>0.11600000000000001</v>
      </c>
      <c r="F13">
        <v>0.313</v>
      </c>
      <c r="G13">
        <v>0.41</v>
      </c>
      <c r="H13">
        <v>0.55100000000000005</v>
      </c>
      <c r="I13">
        <v>0.31900000000000001</v>
      </c>
      <c r="J13">
        <v>5.1999999999999998E-2</v>
      </c>
      <c r="K13">
        <v>6.6000000000000003E-2</v>
      </c>
      <c r="L13">
        <v>0.127</v>
      </c>
      <c r="M13">
        <v>7.5999999999999998E-2</v>
      </c>
      <c r="N13">
        <v>0.26400000000000001</v>
      </c>
      <c r="O13">
        <v>3.9E-2</v>
      </c>
      <c r="P13">
        <v>0.158</v>
      </c>
    </row>
    <row r="14" spans="1:16">
      <c r="A14">
        <f t="shared" si="0"/>
        <v>405</v>
      </c>
      <c r="B14">
        <v>0.254</v>
      </c>
      <c r="C14">
        <v>0.11600000000000001</v>
      </c>
      <c r="D14">
        <v>7.2999999999999995E-2</v>
      </c>
      <c r="E14">
        <v>0.121</v>
      </c>
      <c r="F14">
        <v>0.315</v>
      </c>
      <c r="G14">
        <v>0.46400000000000002</v>
      </c>
      <c r="H14">
        <v>0.55500000000000005</v>
      </c>
      <c r="I14">
        <v>0.41599999999999998</v>
      </c>
      <c r="J14">
        <v>5.1999999999999998E-2</v>
      </c>
      <c r="K14">
        <v>6.7000000000000004E-2</v>
      </c>
      <c r="L14">
        <v>0.121</v>
      </c>
      <c r="M14">
        <v>6.8000000000000005E-2</v>
      </c>
      <c r="N14">
        <v>0.313</v>
      </c>
      <c r="O14">
        <v>3.9E-2</v>
      </c>
      <c r="P14">
        <v>0.16200000000000001</v>
      </c>
    </row>
    <row r="15" spans="1:16">
      <c r="A15">
        <f t="shared" si="0"/>
        <v>410</v>
      </c>
      <c r="B15">
        <v>0.252</v>
      </c>
      <c r="C15">
        <v>0.11799999999999999</v>
      </c>
      <c r="D15">
        <v>7.3999999999999996E-2</v>
      </c>
      <c r="E15">
        <v>0.124</v>
      </c>
      <c r="F15">
        <v>0.31900000000000001</v>
      </c>
      <c r="G15">
        <v>0.49199999999999999</v>
      </c>
      <c r="H15">
        <v>0.55900000000000005</v>
      </c>
      <c r="I15">
        <v>0.46200000000000002</v>
      </c>
      <c r="J15">
        <v>5.0999999999999997E-2</v>
      </c>
      <c r="K15">
        <v>6.8000000000000005E-2</v>
      </c>
      <c r="L15">
        <v>0.11600000000000001</v>
      </c>
      <c r="M15">
        <v>6.4000000000000001E-2</v>
      </c>
      <c r="N15">
        <v>0.34100000000000003</v>
      </c>
      <c r="O15">
        <v>0.04</v>
      </c>
      <c r="P15">
        <v>0.16400000000000001</v>
      </c>
    </row>
    <row r="16" spans="1:16">
      <c r="A16">
        <f t="shared" si="0"/>
        <v>415</v>
      </c>
      <c r="B16">
        <v>0.248</v>
      </c>
      <c r="C16">
        <v>0.12</v>
      </c>
      <c r="D16">
        <v>7.3999999999999996E-2</v>
      </c>
      <c r="E16">
        <v>0.126</v>
      </c>
      <c r="F16">
        <v>0.32200000000000001</v>
      </c>
      <c r="G16">
        <v>0.50800000000000001</v>
      </c>
      <c r="H16">
        <v>0.56000000000000005</v>
      </c>
      <c r="I16">
        <v>0.48199999999999998</v>
      </c>
      <c r="J16">
        <v>0.05</v>
      </c>
      <c r="K16">
        <v>6.9000000000000006E-2</v>
      </c>
      <c r="L16">
        <v>0.112</v>
      </c>
      <c r="M16">
        <v>6.5000000000000002E-2</v>
      </c>
      <c r="N16">
        <v>0.35199999999999998</v>
      </c>
      <c r="O16">
        <v>4.1000000000000002E-2</v>
      </c>
      <c r="P16">
        <v>0.16700000000000001</v>
      </c>
    </row>
    <row r="17" spans="1:16">
      <c r="A17">
        <f t="shared" si="0"/>
        <v>420</v>
      </c>
      <c r="B17">
        <v>0.24399999999999999</v>
      </c>
      <c r="C17">
        <v>0.121</v>
      </c>
      <c r="D17">
        <v>7.3999999999999996E-2</v>
      </c>
      <c r="E17">
        <v>0.128</v>
      </c>
      <c r="F17">
        <v>0.32600000000000001</v>
      </c>
      <c r="G17">
        <v>0.51700000000000002</v>
      </c>
      <c r="H17">
        <v>0.56100000000000005</v>
      </c>
      <c r="I17">
        <v>0.49</v>
      </c>
      <c r="J17">
        <v>0.05</v>
      </c>
      <c r="K17">
        <v>6.9000000000000006E-2</v>
      </c>
      <c r="L17">
        <v>0.108</v>
      </c>
      <c r="M17">
        <v>7.4999999999999997E-2</v>
      </c>
      <c r="N17">
        <v>0.35899999999999999</v>
      </c>
      <c r="O17">
        <v>4.2000000000000003E-2</v>
      </c>
      <c r="P17">
        <v>0.17</v>
      </c>
    </row>
    <row r="18" spans="1:16">
      <c r="A18">
        <f t="shared" si="0"/>
        <v>425</v>
      </c>
      <c r="B18">
        <v>0.24</v>
      </c>
      <c r="C18">
        <v>0.122</v>
      </c>
      <c r="D18">
        <v>7.2999999999999995E-2</v>
      </c>
      <c r="E18">
        <v>0.13100000000000001</v>
      </c>
      <c r="F18">
        <v>0.33</v>
      </c>
      <c r="G18">
        <v>0.52400000000000002</v>
      </c>
      <c r="H18">
        <v>0.55800000000000005</v>
      </c>
      <c r="I18">
        <v>0.48799999999999999</v>
      </c>
      <c r="J18">
        <v>4.9000000000000002E-2</v>
      </c>
      <c r="K18">
        <v>7.0000000000000007E-2</v>
      </c>
      <c r="L18">
        <v>0.105</v>
      </c>
      <c r="M18">
        <v>9.2999999999999999E-2</v>
      </c>
      <c r="N18">
        <v>0.36099999999999999</v>
      </c>
      <c r="O18">
        <v>4.2000000000000003E-2</v>
      </c>
      <c r="P18">
        <v>0.17499999999999999</v>
      </c>
    </row>
    <row r="19" spans="1:16">
      <c r="A19">
        <f t="shared" si="0"/>
        <v>430</v>
      </c>
      <c r="B19">
        <v>0.23699999999999999</v>
      </c>
      <c r="C19">
        <v>0.122</v>
      </c>
      <c r="D19">
        <v>7.2999999999999995E-2</v>
      </c>
      <c r="E19">
        <v>0.13500000000000001</v>
      </c>
      <c r="F19">
        <v>0.33400000000000002</v>
      </c>
      <c r="G19">
        <v>0.53100000000000003</v>
      </c>
      <c r="H19">
        <v>0.55600000000000005</v>
      </c>
      <c r="I19">
        <v>0.48199999999999998</v>
      </c>
      <c r="J19">
        <v>4.8000000000000001E-2</v>
      </c>
      <c r="K19">
        <v>7.1999999999999995E-2</v>
      </c>
      <c r="L19">
        <v>0.104</v>
      </c>
      <c r="M19">
        <v>0.123</v>
      </c>
      <c r="N19">
        <v>0.36399999999999999</v>
      </c>
      <c r="O19">
        <v>4.2999999999999997E-2</v>
      </c>
      <c r="P19">
        <v>0.182</v>
      </c>
    </row>
    <row r="20" spans="1:16">
      <c r="A20">
        <f t="shared" si="0"/>
        <v>435</v>
      </c>
      <c r="B20">
        <v>0.23200000000000001</v>
      </c>
      <c r="C20">
        <v>0.122</v>
      </c>
      <c r="D20">
        <v>7.2999999999999995E-2</v>
      </c>
      <c r="E20">
        <v>0.13900000000000001</v>
      </c>
      <c r="F20">
        <v>0.33900000000000002</v>
      </c>
      <c r="G20">
        <v>0.53800000000000003</v>
      </c>
      <c r="H20">
        <v>0.55100000000000005</v>
      </c>
      <c r="I20">
        <v>0.47299999999999998</v>
      </c>
      <c r="J20">
        <v>4.7E-2</v>
      </c>
      <c r="K20">
        <v>7.2999999999999995E-2</v>
      </c>
      <c r="L20">
        <v>0.104</v>
      </c>
      <c r="M20">
        <v>0.16</v>
      </c>
      <c r="N20">
        <v>0.36499999999999999</v>
      </c>
      <c r="O20">
        <v>4.3999999999999997E-2</v>
      </c>
      <c r="P20">
        <v>0.192</v>
      </c>
    </row>
    <row r="21" spans="1:16">
      <c r="A21">
        <f t="shared" si="0"/>
        <v>440</v>
      </c>
      <c r="B21">
        <v>0.23</v>
      </c>
      <c r="C21">
        <v>0.123</v>
      </c>
      <c r="D21">
        <v>7.2999999999999995E-2</v>
      </c>
      <c r="E21">
        <v>0.14399999999999999</v>
      </c>
      <c r="F21">
        <v>0.34599999999999997</v>
      </c>
      <c r="G21">
        <v>0.54400000000000004</v>
      </c>
      <c r="H21">
        <v>0.54400000000000004</v>
      </c>
      <c r="I21">
        <v>0.46200000000000002</v>
      </c>
      <c r="J21">
        <v>4.5999999999999999E-2</v>
      </c>
      <c r="K21">
        <v>7.5999999999999998E-2</v>
      </c>
      <c r="L21">
        <v>0.105</v>
      </c>
      <c r="M21">
        <v>0.20699999999999999</v>
      </c>
      <c r="N21">
        <v>0.36699999999999999</v>
      </c>
      <c r="O21">
        <v>4.3999999999999997E-2</v>
      </c>
      <c r="P21">
        <v>0.20300000000000001</v>
      </c>
    </row>
    <row r="22" spans="1:16">
      <c r="A22">
        <f t="shared" si="0"/>
        <v>445</v>
      </c>
      <c r="B22">
        <v>0.22600000000000001</v>
      </c>
      <c r="C22">
        <v>0.124</v>
      </c>
      <c r="D22">
        <v>7.2999999999999995E-2</v>
      </c>
      <c r="E22">
        <v>0.151</v>
      </c>
      <c r="F22">
        <v>0.35199999999999998</v>
      </c>
      <c r="G22">
        <v>0.55100000000000005</v>
      </c>
      <c r="H22">
        <v>0.53500000000000003</v>
      </c>
      <c r="I22">
        <v>0.45</v>
      </c>
      <c r="J22">
        <v>4.3999999999999997E-2</v>
      </c>
      <c r="K22">
        <v>7.8E-2</v>
      </c>
      <c r="L22">
        <v>0.106</v>
      </c>
      <c r="M22">
        <v>0.25600000000000001</v>
      </c>
      <c r="N22">
        <v>0.36899999999999999</v>
      </c>
      <c r="O22">
        <v>4.4999999999999998E-2</v>
      </c>
      <c r="P22">
        <v>0.21199999999999999</v>
      </c>
    </row>
    <row r="23" spans="1:16">
      <c r="A23">
        <f t="shared" si="0"/>
        <v>450</v>
      </c>
      <c r="B23">
        <v>0.22500000000000001</v>
      </c>
      <c r="C23">
        <v>0.127</v>
      </c>
      <c r="D23">
        <v>7.3999999999999996E-2</v>
      </c>
      <c r="E23">
        <v>0.161</v>
      </c>
      <c r="F23">
        <v>0.36</v>
      </c>
      <c r="G23">
        <v>0.55600000000000005</v>
      </c>
      <c r="H23">
        <v>0.52200000000000002</v>
      </c>
      <c r="I23">
        <v>0.439</v>
      </c>
      <c r="J23">
        <v>4.2000000000000003E-2</v>
      </c>
      <c r="K23">
        <v>8.3000000000000004E-2</v>
      </c>
      <c r="L23">
        <v>0.11</v>
      </c>
      <c r="M23">
        <v>0.3</v>
      </c>
      <c r="N23">
        <v>0.372</v>
      </c>
      <c r="O23">
        <v>4.4999999999999998E-2</v>
      </c>
      <c r="P23">
        <v>0.221</v>
      </c>
    </row>
    <row r="24" spans="1:16">
      <c r="A24">
        <f t="shared" si="0"/>
        <v>455</v>
      </c>
      <c r="B24">
        <v>0.222</v>
      </c>
      <c r="C24">
        <v>0.128</v>
      </c>
      <c r="D24">
        <v>7.4999999999999997E-2</v>
      </c>
      <c r="E24">
        <v>0.17199999999999999</v>
      </c>
      <c r="F24">
        <v>0.36899999999999999</v>
      </c>
      <c r="G24">
        <v>0.55600000000000005</v>
      </c>
      <c r="H24">
        <v>0.50600000000000001</v>
      </c>
      <c r="I24">
        <v>0.42599999999999999</v>
      </c>
      <c r="J24">
        <v>4.1000000000000002E-2</v>
      </c>
      <c r="K24">
        <v>8.7999999999999995E-2</v>
      </c>
      <c r="L24">
        <v>0.115</v>
      </c>
      <c r="M24">
        <v>0.33100000000000002</v>
      </c>
      <c r="N24">
        <v>0.374</v>
      </c>
      <c r="O24">
        <v>4.5999999999999999E-2</v>
      </c>
      <c r="P24">
        <v>0.22900000000000001</v>
      </c>
    </row>
    <row r="25" spans="1:16">
      <c r="A25">
        <f t="shared" si="0"/>
        <v>460</v>
      </c>
      <c r="B25">
        <v>0.22</v>
      </c>
      <c r="C25">
        <v>0.13100000000000001</v>
      </c>
      <c r="D25">
        <v>7.6999999999999999E-2</v>
      </c>
      <c r="E25">
        <v>0.186</v>
      </c>
      <c r="F25">
        <v>0.38100000000000001</v>
      </c>
      <c r="G25">
        <v>0.55400000000000005</v>
      </c>
      <c r="H25">
        <v>0.48799999999999999</v>
      </c>
      <c r="I25">
        <v>0.41299999999999998</v>
      </c>
      <c r="J25">
        <v>3.7999999999999999E-2</v>
      </c>
      <c r="K25">
        <v>9.5000000000000001E-2</v>
      </c>
      <c r="L25">
        <v>0.123</v>
      </c>
      <c r="M25">
        <v>0.34599999999999997</v>
      </c>
      <c r="N25">
        <v>0.376</v>
      </c>
      <c r="O25">
        <v>4.7E-2</v>
      </c>
      <c r="P25">
        <v>0.23599999999999999</v>
      </c>
    </row>
    <row r="26" spans="1:16">
      <c r="A26">
        <f t="shared" si="0"/>
        <v>465</v>
      </c>
      <c r="B26">
        <v>0.218</v>
      </c>
      <c r="C26">
        <v>0.13400000000000001</v>
      </c>
      <c r="D26">
        <v>0.08</v>
      </c>
      <c r="E26">
        <v>0.20499999999999999</v>
      </c>
      <c r="F26">
        <v>0.39400000000000002</v>
      </c>
      <c r="G26">
        <v>0.54900000000000004</v>
      </c>
      <c r="H26">
        <v>0.46899999999999997</v>
      </c>
      <c r="I26">
        <v>0.39700000000000002</v>
      </c>
      <c r="J26">
        <v>3.5000000000000003E-2</v>
      </c>
      <c r="K26">
        <v>0.10299999999999999</v>
      </c>
      <c r="L26">
        <v>0.13400000000000001</v>
      </c>
      <c r="M26">
        <v>0.34699999999999998</v>
      </c>
      <c r="N26">
        <v>0.379</v>
      </c>
      <c r="O26">
        <v>4.8000000000000001E-2</v>
      </c>
      <c r="P26">
        <v>0.24299999999999999</v>
      </c>
    </row>
    <row r="27" spans="1:16">
      <c r="A27">
        <f t="shared" si="0"/>
        <v>470</v>
      </c>
      <c r="B27">
        <v>0.216</v>
      </c>
      <c r="C27">
        <v>0.13800000000000001</v>
      </c>
      <c r="D27">
        <v>8.5000000000000006E-2</v>
      </c>
      <c r="E27">
        <v>0.22900000000000001</v>
      </c>
      <c r="F27">
        <v>0.40300000000000002</v>
      </c>
      <c r="G27">
        <v>0.54100000000000004</v>
      </c>
      <c r="H27">
        <v>0.44800000000000001</v>
      </c>
      <c r="I27">
        <v>0.38200000000000001</v>
      </c>
      <c r="J27">
        <v>3.3000000000000002E-2</v>
      </c>
      <c r="K27">
        <v>0.113</v>
      </c>
      <c r="L27">
        <v>0.14799999999999999</v>
      </c>
      <c r="M27">
        <v>0.34100000000000003</v>
      </c>
      <c r="N27">
        <v>0.38400000000000001</v>
      </c>
      <c r="O27">
        <v>0.05</v>
      </c>
      <c r="P27">
        <v>0.249</v>
      </c>
    </row>
    <row r="28" spans="1:16">
      <c r="A28">
        <f t="shared" si="0"/>
        <v>475</v>
      </c>
      <c r="B28">
        <v>0.214</v>
      </c>
      <c r="C28">
        <v>0.14299999999999999</v>
      </c>
      <c r="D28">
        <v>9.4E-2</v>
      </c>
      <c r="E28">
        <v>0.254</v>
      </c>
      <c r="F28">
        <v>0.41</v>
      </c>
      <c r="G28">
        <v>0.53100000000000003</v>
      </c>
      <c r="H28">
        <v>0.42899999999999999</v>
      </c>
      <c r="I28">
        <v>0.36599999999999999</v>
      </c>
      <c r="J28">
        <v>3.1E-2</v>
      </c>
      <c r="K28">
        <v>0.125</v>
      </c>
      <c r="L28">
        <v>0.16700000000000001</v>
      </c>
      <c r="M28">
        <v>0.32800000000000001</v>
      </c>
      <c r="N28">
        <v>0.38900000000000001</v>
      </c>
      <c r="O28">
        <v>5.1999999999999998E-2</v>
      </c>
      <c r="P28">
        <v>0.254</v>
      </c>
    </row>
    <row r="29" spans="1:16">
      <c r="A29">
        <f t="shared" si="0"/>
        <v>480</v>
      </c>
      <c r="B29">
        <v>0.214</v>
      </c>
      <c r="C29">
        <v>0.15</v>
      </c>
      <c r="D29">
        <v>0.109</v>
      </c>
      <c r="E29">
        <v>0.28100000000000003</v>
      </c>
      <c r="F29">
        <v>0.41499999999999998</v>
      </c>
      <c r="G29">
        <v>0.51900000000000002</v>
      </c>
      <c r="H29">
        <v>0.40799999999999997</v>
      </c>
      <c r="I29">
        <v>0.35199999999999998</v>
      </c>
      <c r="J29">
        <v>0.03</v>
      </c>
      <c r="K29">
        <v>0.14199999999999999</v>
      </c>
      <c r="L29">
        <v>0.192</v>
      </c>
      <c r="M29">
        <v>0.307</v>
      </c>
      <c r="N29">
        <v>0.39700000000000002</v>
      </c>
      <c r="O29">
        <v>5.5E-2</v>
      </c>
      <c r="P29">
        <v>0.25900000000000001</v>
      </c>
    </row>
    <row r="30" spans="1:16">
      <c r="A30">
        <f t="shared" si="0"/>
        <v>485</v>
      </c>
      <c r="B30">
        <v>0.214</v>
      </c>
      <c r="C30">
        <v>0.159</v>
      </c>
      <c r="D30">
        <v>0.126</v>
      </c>
      <c r="E30">
        <v>0.308</v>
      </c>
      <c r="F30">
        <v>0.41799999999999998</v>
      </c>
      <c r="G30">
        <v>0.504</v>
      </c>
      <c r="H30">
        <v>0.38500000000000001</v>
      </c>
      <c r="I30">
        <v>0.33700000000000002</v>
      </c>
      <c r="J30">
        <v>2.9000000000000001E-2</v>
      </c>
      <c r="K30">
        <v>0.16200000000000001</v>
      </c>
      <c r="L30">
        <v>0.219</v>
      </c>
      <c r="M30">
        <v>0.28199999999999997</v>
      </c>
      <c r="N30">
        <v>0.40500000000000003</v>
      </c>
      <c r="O30">
        <v>5.7000000000000002E-2</v>
      </c>
      <c r="P30">
        <v>0.26400000000000001</v>
      </c>
    </row>
    <row r="31" spans="1:16">
      <c r="A31">
        <f t="shared" si="0"/>
        <v>490</v>
      </c>
      <c r="B31">
        <v>0.216</v>
      </c>
      <c r="C31">
        <v>0.17399999999999999</v>
      </c>
      <c r="D31">
        <v>0.14799999999999999</v>
      </c>
      <c r="E31">
        <v>0.33200000000000002</v>
      </c>
      <c r="F31">
        <v>0.41899999999999998</v>
      </c>
      <c r="G31">
        <v>0.48799999999999999</v>
      </c>
      <c r="H31">
        <v>0.36299999999999999</v>
      </c>
      <c r="I31">
        <v>0.32500000000000001</v>
      </c>
      <c r="J31">
        <v>2.8000000000000001E-2</v>
      </c>
      <c r="K31">
        <v>0.189</v>
      </c>
      <c r="L31">
        <v>0.252</v>
      </c>
      <c r="M31">
        <v>0.25700000000000001</v>
      </c>
      <c r="N31">
        <v>0.41599999999999998</v>
      </c>
      <c r="O31">
        <v>6.2E-2</v>
      </c>
      <c r="P31">
        <v>0.26900000000000002</v>
      </c>
    </row>
    <row r="32" spans="1:16">
      <c r="A32">
        <f t="shared" si="0"/>
        <v>495</v>
      </c>
      <c r="B32">
        <v>0.218</v>
      </c>
      <c r="C32">
        <v>0.19</v>
      </c>
      <c r="D32">
        <v>0.17199999999999999</v>
      </c>
      <c r="E32">
        <v>0.35199999999999998</v>
      </c>
      <c r="F32">
        <v>0.41699999999999998</v>
      </c>
      <c r="G32">
        <v>0.46899999999999997</v>
      </c>
      <c r="H32">
        <v>0.34100000000000003</v>
      </c>
      <c r="I32">
        <v>0.31</v>
      </c>
      <c r="J32">
        <v>2.8000000000000001E-2</v>
      </c>
      <c r="K32">
        <v>0.219</v>
      </c>
      <c r="L32">
        <v>0.29099999999999998</v>
      </c>
      <c r="M32">
        <v>0.23</v>
      </c>
      <c r="N32">
        <v>0.42899999999999999</v>
      </c>
      <c r="O32">
        <v>6.7000000000000004E-2</v>
      </c>
      <c r="P32">
        <v>0.27600000000000002</v>
      </c>
    </row>
    <row r="33" spans="1:16">
      <c r="A33">
        <f t="shared" si="0"/>
        <v>500</v>
      </c>
      <c r="B33">
        <v>0.223</v>
      </c>
      <c r="C33">
        <v>0.20699999999999999</v>
      </c>
      <c r="D33">
        <v>0.19800000000000001</v>
      </c>
      <c r="E33">
        <v>0.37</v>
      </c>
      <c r="F33">
        <v>0.41299999999999998</v>
      </c>
      <c r="G33">
        <v>0.45</v>
      </c>
      <c r="H33">
        <v>0.32400000000000001</v>
      </c>
      <c r="I33">
        <v>0.29899999999999999</v>
      </c>
      <c r="J33">
        <v>2.8000000000000001E-2</v>
      </c>
      <c r="K33">
        <v>0.26200000000000001</v>
      </c>
      <c r="L33">
        <v>0.32500000000000001</v>
      </c>
      <c r="M33">
        <v>0.20399999999999999</v>
      </c>
      <c r="N33">
        <v>0.443</v>
      </c>
      <c r="O33">
        <v>7.4999999999999997E-2</v>
      </c>
      <c r="P33">
        <v>0.28399999999999997</v>
      </c>
    </row>
    <row r="34" spans="1:16">
      <c r="A34">
        <f t="shared" si="0"/>
        <v>505</v>
      </c>
      <c r="B34">
        <v>0.22500000000000001</v>
      </c>
      <c r="C34">
        <v>0.22500000000000001</v>
      </c>
      <c r="D34">
        <v>0.221</v>
      </c>
      <c r="E34">
        <v>0.38300000000000001</v>
      </c>
      <c r="F34">
        <v>0.40899999999999997</v>
      </c>
      <c r="G34">
        <v>0.43099999999999999</v>
      </c>
      <c r="H34">
        <v>0.311</v>
      </c>
      <c r="I34">
        <v>0.28899999999999998</v>
      </c>
      <c r="J34">
        <v>2.9000000000000001E-2</v>
      </c>
      <c r="K34">
        <v>0.30499999999999999</v>
      </c>
      <c r="L34">
        <v>0.34699999999999998</v>
      </c>
      <c r="M34">
        <v>0.17799999999999999</v>
      </c>
      <c r="N34">
        <v>0.45400000000000001</v>
      </c>
      <c r="O34">
        <v>8.3000000000000004E-2</v>
      </c>
      <c r="P34">
        <v>0.29099999999999998</v>
      </c>
    </row>
    <row r="35" spans="1:16">
      <c r="A35">
        <f t="shared" si="0"/>
        <v>510</v>
      </c>
      <c r="B35">
        <v>0.22600000000000001</v>
      </c>
      <c r="C35">
        <v>0.24199999999999999</v>
      </c>
      <c r="D35">
        <v>0.24099999999999999</v>
      </c>
      <c r="E35">
        <v>0.39</v>
      </c>
      <c r="F35">
        <v>0.40300000000000002</v>
      </c>
      <c r="G35">
        <v>0.41399999999999998</v>
      </c>
      <c r="H35">
        <v>0.30099999999999999</v>
      </c>
      <c r="I35">
        <v>0.28299999999999997</v>
      </c>
      <c r="J35">
        <v>0.03</v>
      </c>
      <c r="K35">
        <v>0.36499999999999999</v>
      </c>
      <c r="L35">
        <v>0.35599999999999998</v>
      </c>
      <c r="M35">
        <v>0.154</v>
      </c>
      <c r="N35">
        <v>0.46100000000000002</v>
      </c>
      <c r="O35">
        <v>9.1999999999999998E-2</v>
      </c>
      <c r="P35">
        <v>0.29599999999999999</v>
      </c>
    </row>
    <row r="36" spans="1:16">
      <c r="A36">
        <f t="shared" si="0"/>
        <v>515</v>
      </c>
      <c r="B36">
        <v>0.22600000000000001</v>
      </c>
      <c r="C36">
        <v>0.253</v>
      </c>
      <c r="D36">
        <v>0.26</v>
      </c>
      <c r="E36">
        <v>0.39400000000000002</v>
      </c>
      <c r="F36">
        <v>0.39600000000000002</v>
      </c>
      <c r="G36">
        <v>0.39500000000000002</v>
      </c>
      <c r="H36">
        <v>0.29099999999999998</v>
      </c>
      <c r="I36">
        <v>0.27600000000000002</v>
      </c>
      <c r="J36">
        <v>0.03</v>
      </c>
      <c r="K36">
        <v>0.41599999999999998</v>
      </c>
      <c r="L36">
        <v>0.35299999999999998</v>
      </c>
      <c r="M36">
        <v>0.129</v>
      </c>
      <c r="N36">
        <v>0.46600000000000003</v>
      </c>
      <c r="O36">
        <v>0.1</v>
      </c>
      <c r="P36">
        <v>0.29799999999999999</v>
      </c>
    </row>
    <row r="37" spans="1:16">
      <c r="A37">
        <f t="shared" si="0"/>
        <v>520</v>
      </c>
      <c r="B37">
        <v>0.22500000000000001</v>
      </c>
      <c r="C37">
        <v>0.26</v>
      </c>
      <c r="D37">
        <v>0.27800000000000002</v>
      </c>
      <c r="E37">
        <v>0.39500000000000002</v>
      </c>
      <c r="F37">
        <v>0.38900000000000001</v>
      </c>
      <c r="G37">
        <v>0.377</v>
      </c>
      <c r="H37">
        <v>0.28299999999999997</v>
      </c>
      <c r="I37">
        <v>0.27</v>
      </c>
      <c r="J37">
        <v>3.1E-2</v>
      </c>
      <c r="K37">
        <v>0.46500000000000002</v>
      </c>
      <c r="L37">
        <v>0.34599999999999997</v>
      </c>
      <c r="M37">
        <v>0.109</v>
      </c>
      <c r="N37">
        <v>0.46899999999999997</v>
      </c>
      <c r="O37">
        <v>0.108</v>
      </c>
      <c r="P37">
        <v>0.29599999999999999</v>
      </c>
    </row>
    <row r="38" spans="1:16">
      <c r="A38">
        <f t="shared" si="0"/>
        <v>525</v>
      </c>
      <c r="B38">
        <v>0.22500000000000001</v>
      </c>
      <c r="C38">
        <v>0.26400000000000001</v>
      </c>
      <c r="D38">
        <v>0.30199999999999999</v>
      </c>
      <c r="E38">
        <v>0.39200000000000002</v>
      </c>
      <c r="F38">
        <v>0.38100000000000001</v>
      </c>
      <c r="G38">
        <v>0.35799999999999998</v>
      </c>
      <c r="H38">
        <v>0.27300000000000002</v>
      </c>
      <c r="I38">
        <v>0.26200000000000001</v>
      </c>
      <c r="J38">
        <v>3.1E-2</v>
      </c>
      <c r="K38">
        <v>0.50900000000000001</v>
      </c>
      <c r="L38">
        <v>0.33300000000000002</v>
      </c>
      <c r="M38">
        <v>0.09</v>
      </c>
      <c r="N38">
        <v>0.47099999999999997</v>
      </c>
      <c r="O38">
        <v>0.121</v>
      </c>
      <c r="P38">
        <v>0.28899999999999998</v>
      </c>
    </row>
    <row r="39" spans="1:16">
      <c r="A39">
        <f t="shared" si="0"/>
        <v>530</v>
      </c>
      <c r="B39">
        <v>0.22700000000000001</v>
      </c>
      <c r="C39">
        <v>0.26700000000000002</v>
      </c>
      <c r="D39">
        <v>0.33900000000000002</v>
      </c>
      <c r="E39">
        <v>0.38500000000000001</v>
      </c>
      <c r="F39">
        <v>0.372</v>
      </c>
      <c r="G39">
        <v>0.34100000000000003</v>
      </c>
      <c r="H39">
        <v>0.26500000000000001</v>
      </c>
      <c r="I39">
        <v>0.25600000000000001</v>
      </c>
      <c r="J39">
        <v>3.2000000000000001E-2</v>
      </c>
      <c r="K39">
        <v>0.54600000000000004</v>
      </c>
      <c r="L39">
        <v>0.314</v>
      </c>
      <c r="M39">
        <v>7.4999999999999997E-2</v>
      </c>
      <c r="N39">
        <v>0.47399999999999998</v>
      </c>
      <c r="O39">
        <v>0.13300000000000001</v>
      </c>
      <c r="P39">
        <v>0.28199999999999997</v>
      </c>
    </row>
    <row r="40" spans="1:16">
      <c r="A40">
        <f t="shared" si="0"/>
        <v>535</v>
      </c>
      <c r="B40">
        <v>0.23</v>
      </c>
      <c r="C40">
        <v>0.26900000000000002</v>
      </c>
      <c r="D40">
        <v>0.37</v>
      </c>
      <c r="E40">
        <v>0.377</v>
      </c>
      <c r="F40">
        <v>0.36299999999999999</v>
      </c>
      <c r="G40">
        <v>0.32500000000000001</v>
      </c>
      <c r="H40">
        <v>0.26</v>
      </c>
      <c r="I40">
        <v>0.251</v>
      </c>
      <c r="J40">
        <v>3.2000000000000001E-2</v>
      </c>
      <c r="K40">
        <v>0.58099999999999996</v>
      </c>
      <c r="L40">
        <v>0.29399999999999998</v>
      </c>
      <c r="M40">
        <v>6.2E-2</v>
      </c>
      <c r="N40">
        <v>0.47599999999999998</v>
      </c>
      <c r="O40">
        <v>0.14199999999999999</v>
      </c>
      <c r="P40">
        <v>0.27600000000000002</v>
      </c>
    </row>
    <row r="41" spans="1:16">
      <c r="A41">
        <f t="shared" si="0"/>
        <v>540</v>
      </c>
      <c r="B41">
        <v>0.23599999999999999</v>
      </c>
      <c r="C41">
        <v>0.27200000000000002</v>
      </c>
      <c r="D41">
        <v>0.39200000000000002</v>
      </c>
      <c r="E41">
        <v>0.36699999999999999</v>
      </c>
      <c r="F41">
        <v>0.35299999999999998</v>
      </c>
      <c r="G41">
        <v>0.309</v>
      </c>
      <c r="H41">
        <v>0.25700000000000001</v>
      </c>
      <c r="I41">
        <v>0.25</v>
      </c>
      <c r="J41">
        <v>3.3000000000000002E-2</v>
      </c>
      <c r="K41">
        <v>0.61</v>
      </c>
      <c r="L41">
        <v>0.27100000000000002</v>
      </c>
      <c r="M41">
        <v>5.0999999999999997E-2</v>
      </c>
      <c r="N41">
        <v>0.48299999999999998</v>
      </c>
      <c r="O41">
        <v>0.15</v>
      </c>
      <c r="P41">
        <v>0.27400000000000002</v>
      </c>
    </row>
    <row r="42" spans="1:16">
      <c r="A42">
        <f t="shared" si="0"/>
        <v>545</v>
      </c>
      <c r="B42">
        <v>0.245</v>
      </c>
      <c r="C42">
        <v>0.27600000000000002</v>
      </c>
      <c r="D42">
        <v>0.39900000000000002</v>
      </c>
      <c r="E42">
        <v>0.35399999999999998</v>
      </c>
      <c r="F42">
        <v>0.34200000000000003</v>
      </c>
      <c r="G42">
        <v>0.29299999999999998</v>
      </c>
      <c r="H42">
        <v>0.25700000000000001</v>
      </c>
      <c r="I42">
        <v>0.251</v>
      </c>
      <c r="J42">
        <v>3.4000000000000002E-2</v>
      </c>
      <c r="K42">
        <v>0.63400000000000001</v>
      </c>
      <c r="L42">
        <v>0.248</v>
      </c>
      <c r="M42">
        <v>4.1000000000000002E-2</v>
      </c>
      <c r="N42">
        <v>0.49</v>
      </c>
      <c r="O42">
        <v>0.154</v>
      </c>
      <c r="P42">
        <v>0.27600000000000002</v>
      </c>
    </row>
    <row r="43" spans="1:16">
      <c r="A43">
        <f t="shared" si="0"/>
        <v>550</v>
      </c>
      <c r="B43">
        <v>0.253</v>
      </c>
      <c r="C43">
        <v>0.28199999999999997</v>
      </c>
      <c r="D43">
        <v>0.4</v>
      </c>
      <c r="E43">
        <v>0.34100000000000003</v>
      </c>
      <c r="F43">
        <v>0.33100000000000002</v>
      </c>
      <c r="G43">
        <v>0.27900000000000003</v>
      </c>
      <c r="H43">
        <v>0.25900000000000001</v>
      </c>
      <c r="I43">
        <v>0.254</v>
      </c>
      <c r="J43">
        <v>3.5000000000000003E-2</v>
      </c>
      <c r="K43">
        <v>0.65300000000000002</v>
      </c>
      <c r="L43">
        <v>0.22700000000000001</v>
      </c>
      <c r="M43">
        <v>3.5000000000000003E-2</v>
      </c>
      <c r="N43">
        <v>0.50600000000000001</v>
      </c>
      <c r="O43">
        <v>0.155</v>
      </c>
      <c r="P43">
        <v>0.28100000000000003</v>
      </c>
    </row>
    <row r="44" spans="1:16">
      <c r="A44">
        <f t="shared" si="0"/>
        <v>555</v>
      </c>
      <c r="B44">
        <v>0.26200000000000001</v>
      </c>
      <c r="C44">
        <v>0.28899999999999998</v>
      </c>
      <c r="D44">
        <v>0.39300000000000002</v>
      </c>
      <c r="E44">
        <v>0.32700000000000001</v>
      </c>
      <c r="F44">
        <v>0.32</v>
      </c>
      <c r="G44">
        <v>0.26500000000000001</v>
      </c>
      <c r="H44">
        <v>0.26</v>
      </c>
      <c r="I44">
        <v>0.25800000000000001</v>
      </c>
      <c r="J44">
        <v>3.6999999999999998E-2</v>
      </c>
      <c r="K44">
        <v>0.66600000000000004</v>
      </c>
      <c r="L44">
        <v>0.20599999999999999</v>
      </c>
      <c r="M44">
        <v>2.9000000000000001E-2</v>
      </c>
      <c r="N44">
        <v>0.52600000000000002</v>
      </c>
      <c r="O44">
        <v>0.152</v>
      </c>
      <c r="P44">
        <v>0.28599999999999998</v>
      </c>
    </row>
    <row r="45" spans="1:16">
      <c r="A45">
        <f t="shared" si="0"/>
        <v>560</v>
      </c>
      <c r="B45">
        <v>0.27200000000000002</v>
      </c>
      <c r="C45">
        <v>0.29899999999999999</v>
      </c>
      <c r="D45">
        <v>0.38</v>
      </c>
      <c r="E45">
        <v>0.312</v>
      </c>
      <c r="F45">
        <v>0.308</v>
      </c>
      <c r="G45">
        <v>0.253</v>
      </c>
      <c r="H45">
        <v>0.26</v>
      </c>
      <c r="I45">
        <v>0.26400000000000001</v>
      </c>
      <c r="J45">
        <v>4.1000000000000002E-2</v>
      </c>
      <c r="K45">
        <v>0.67800000000000005</v>
      </c>
      <c r="L45">
        <v>0.188</v>
      </c>
      <c r="M45">
        <v>2.5000000000000001E-2</v>
      </c>
      <c r="N45">
        <v>0.55300000000000005</v>
      </c>
      <c r="O45">
        <v>0.14699999999999999</v>
      </c>
      <c r="P45">
        <v>0.29099999999999998</v>
      </c>
    </row>
    <row r="46" spans="1:16">
      <c r="A46">
        <f t="shared" si="0"/>
        <v>565</v>
      </c>
      <c r="B46">
        <v>0.28299999999999997</v>
      </c>
      <c r="C46">
        <v>0.309</v>
      </c>
      <c r="D46">
        <v>0.36499999999999999</v>
      </c>
      <c r="E46">
        <v>0.29599999999999999</v>
      </c>
      <c r="F46">
        <v>0.29599999999999999</v>
      </c>
      <c r="G46">
        <v>0.24099999999999999</v>
      </c>
      <c r="H46">
        <v>0.25800000000000001</v>
      </c>
      <c r="I46">
        <v>0.26900000000000002</v>
      </c>
      <c r="J46">
        <v>4.3999999999999997E-2</v>
      </c>
      <c r="K46">
        <v>0.68700000000000006</v>
      </c>
      <c r="L46">
        <v>0.17</v>
      </c>
      <c r="M46">
        <v>2.1999999999999999E-2</v>
      </c>
      <c r="N46">
        <v>0.58199999999999996</v>
      </c>
      <c r="O46">
        <v>0.14000000000000001</v>
      </c>
      <c r="P46">
        <v>0.28899999999999998</v>
      </c>
    </row>
    <row r="47" spans="1:16">
      <c r="A47">
        <f t="shared" si="0"/>
        <v>570</v>
      </c>
      <c r="B47">
        <v>0.29799999999999999</v>
      </c>
      <c r="C47">
        <v>0.32200000000000001</v>
      </c>
      <c r="D47">
        <v>0.34899999999999998</v>
      </c>
      <c r="E47">
        <v>0.28000000000000003</v>
      </c>
      <c r="F47">
        <v>0.28399999999999997</v>
      </c>
      <c r="G47">
        <v>0.23400000000000001</v>
      </c>
      <c r="H47">
        <v>0.25600000000000001</v>
      </c>
      <c r="I47">
        <v>0.27200000000000002</v>
      </c>
      <c r="J47">
        <v>4.8000000000000001E-2</v>
      </c>
      <c r="K47">
        <v>0.69299999999999995</v>
      </c>
      <c r="L47">
        <v>0.153</v>
      </c>
      <c r="M47">
        <v>1.9E-2</v>
      </c>
      <c r="N47">
        <v>0.61799999999999999</v>
      </c>
      <c r="O47">
        <v>0.13300000000000001</v>
      </c>
      <c r="P47">
        <v>0.28599999999999998</v>
      </c>
    </row>
    <row r="48" spans="1:16">
      <c r="A48">
        <f t="shared" si="0"/>
        <v>575</v>
      </c>
      <c r="B48">
        <v>0.318</v>
      </c>
      <c r="C48">
        <v>0.32900000000000001</v>
      </c>
      <c r="D48">
        <v>0.33200000000000002</v>
      </c>
      <c r="E48">
        <v>0.26300000000000001</v>
      </c>
      <c r="F48">
        <v>0.27100000000000002</v>
      </c>
      <c r="G48">
        <v>0.22700000000000001</v>
      </c>
      <c r="H48">
        <v>0.254</v>
      </c>
      <c r="I48">
        <v>0.27400000000000002</v>
      </c>
      <c r="J48">
        <v>5.1999999999999998E-2</v>
      </c>
      <c r="K48">
        <v>0.69799999999999995</v>
      </c>
      <c r="L48">
        <v>0.13800000000000001</v>
      </c>
      <c r="M48">
        <v>1.7000000000000001E-2</v>
      </c>
      <c r="N48">
        <v>0.65100000000000002</v>
      </c>
      <c r="O48">
        <v>0.125</v>
      </c>
      <c r="P48">
        <v>0.28000000000000003</v>
      </c>
    </row>
    <row r="49" spans="1:16">
      <c r="A49">
        <f t="shared" si="0"/>
        <v>580</v>
      </c>
      <c r="B49">
        <v>0.34100000000000003</v>
      </c>
      <c r="C49">
        <v>0.33500000000000002</v>
      </c>
      <c r="D49">
        <v>0.315</v>
      </c>
      <c r="E49">
        <v>0.247</v>
      </c>
      <c r="F49">
        <v>0.26</v>
      </c>
      <c r="G49">
        <v>0.22500000000000001</v>
      </c>
      <c r="H49">
        <v>0.254</v>
      </c>
      <c r="I49">
        <v>0.27800000000000002</v>
      </c>
      <c r="J49">
        <v>0.06</v>
      </c>
      <c r="K49">
        <v>0.70099999999999996</v>
      </c>
      <c r="L49">
        <v>0.125</v>
      </c>
      <c r="M49">
        <v>1.7000000000000001E-2</v>
      </c>
      <c r="N49">
        <v>0.68</v>
      </c>
      <c r="O49">
        <v>0.11799999999999999</v>
      </c>
      <c r="P49">
        <v>0.28499999999999998</v>
      </c>
    </row>
    <row r="50" spans="1:16">
      <c r="A50">
        <f t="shared" si="0"/>
        <v>585</v>
      </c>
      <c r="B50">
        <v>0.36699999999999999</v>
      </c>
      <c r="C50">
        <v>0.33900000000000002</v>
      </c>
      <c r="D50">
        <v>0.29899999999999999</v>
      </c>
      <c r="E50">
        <v>0.22900000000000001</v>
      </c>
      <c r="F50">
        <v>0.247</v>
      </c>
      <c r="G50">
        <v>0.222</v>
      </c>
      <c r="H50">
        <v>0.25900000000000001</v>
      </c>
      <c r="I50">
        <v>0.28399999999999997</v>
      </c>
      <c r="J50">
        <v>7.5999999999999998E-2</v>
      </c>
      <c r="K50">
        <v>0.70399999999999996</v>
      </c>
      <c r="L50">
        <v>0.114</v>
      </c>
      <c r="M50">
        <v>1.7000000000000001E-2</v>
      </c>
      <c r="N50">
        <v>0.70099999999999996</v>
      </c>
      <c r="O50">
        <v>0.112</v>
      </c>
      <c r="P50">
        <v>0.314</v>
      </c>
    </row>
    <row r="51" spans="1:16">
      <c r="A51">
        <f t="shared" si="0"/>
        <v>590</v>
      </c>
      <c r="B51">
        <v>0.39</v>
      </c>
      <c r="C51">
        <v>0.34100000000000003</v>
      </c>
      <c r="D51">
        <v>0.28499999999999998</v>
      </c>
      <c r="E51">
        <v>0.214</v>
      </c>
      <c r="F51">
        <v>0.23200000000000001</v>
      </c>
      <c r="G51">
        <v>0.221</v>
      </c>
      <c r="H51">
        <v>0.27</v>
      </c>
      <c r="I51">
        <v>0.29499999999999998</v>
      </c>
      <c r="J51">
        <v>0.10199999999999999</v>
      </c>
      <c r="K51">
        <v>0.70499999999999996</v>
      </c>
      <c r="L51">
        <v>0.106</v>
      </c>
      <c r="M51">
        <v>1.6E-2</v>
      </c>
      <c r="N51">
        <v>0.71699999999999997</v>
      </c>
      <c r="O51">
        <v>0.106</v>
      </c>
      <c r="P51">
        <v>0.35399999999999998</v>
      </c>
    </row>
    <row r="52" spans="1:16">
      <c r="A52">
        <f t="shared" si="0"/>
        <v>595</v>
      </c>
      <c r="B52">
        <v>0.40899999999999997</v>
      </c>
      <c r="C52">
        <v>0.34100000000000003</v>
      </c>
      <c r="D52">
        <v>0.27200000000000002</v>
      </c>
      <c r="E52">
        <v>0.19800000000000001</v>
      </c>
      <c r="F52">
        <v>0.22</v>
      </c>
      <c r="G52">
        <v>0.22</v>
      </c>
      <c r="H52">
        <v>0.28399999999999997</v>
      </c>
      <c r="I52">
        <v>0.316</v>
      </c>
      <c r="J52">
        <v>0.13600000000000001</v>
      </c>
      <c r="K52">
        <v>0.70499999999999996</v>
      </c>
      <c r="L52">
        <v>0.1</v>
      </c>
      <c r="M52">
        <v>1.6E-2</v>
      </c>
      <c r="N52">
        <v>0.72899999999999998</v>
      </c>
      <c r="O52">
        <v>0.10100000000000001</v>
      </c>
      <c r="P52">
        <v>0.39800000000000002</v>
      </c>
    </row>
    <row r="53" spans="1:16">
      <c r="A53">
        <f t="shared" si="0"/>
        <v>600</v>
      </c>
      <c r="B53">
        <v>0.42399999999999999</v>
      </c>
      <c r="C53">
        <v>0.34200000000000003</v>
      </c>
      <c r="D53">
        <v>0.26400000000000001</v>
      </c>
      <c r="E53">
        <v>0.185</v>
      </c>
      <c r="F53">
        <v>0.21</v>
      </c>
      <c r="G53">
        <v>0.22</v>
      </c>
      <c r="H53">
        <v>0.30199999999999999</v>
      </c>
      <c r="I53">
        <v>0.34799999999999998</v>
      </c>
      <c r="J53">
        <v>0.19</v>
      </c>
      <c r="K53">
        <v>0.70599999999999996</v>
      </c>
      <c r="L53">
        <v>9.6000000000000002E-2</v>
      </c>
      <c r="M53">
        <v>1.6E-2</v>
      </c>
      <c r="N53">
        <v>0.73599999999999999</v>
      </c>
      <c r="O53">
        <v>9.8000000000000004E-2</v>
      </c>
      <c r="P53">
        <v>0.44</v>
      </c>
    </row>
    <row r="54" spans="1:16">
      <c r="A54">
        <f t="shared" si="0"/>
        <v>605</v>
      </c>
      <c r="B54">
        <v>0.435</v>
      </c>
      <c r="C54">
        <v>0.34200000000000003</v>
      </c>
      <c r="D54">
        <v>0.25700000000000001</v>
      </c>
      <c r="E54">
        <v>0.17499999999999999</v>
      </c>
      <c r="F54">
        <v>0.2</v>
      </c>
      <c r="G54">
        <v>0.22</v>
      </c>
      <c r="H54">
        <v>0.32400000000000001</v>
      </c>
      <c r="I54">
        <v>0.38400000000000001</v>
      </c>
      <c r="J54">
        <v>0.25600000000000001</v>
      </c>
      <c r="K54">
        <v>0.70699999999999996</v>
      </c>
      <c r="L54">
        <v>9.1999999999999998E-2</v>
      </c>
      <c r="M54">
        <v>1.6E-2</v>
      </c>
      <c r="N54">
        <v>0.74199999999999999</v>
      </c>
      <c r="O54">
        <v>9.5000000000000001E-2</v>
      </c>
      <c r="P54">
        <v>0.47</v>
      </c>
    </row>
    <row r="55" spans="1:16">
      <c r="A55">
        <f t="shared" si="0"/>
        <v>610</v>
      </c>
      <c r="B55">
        <v>0.442</v>
      </c>
      <c r="C55">
        <v>0.34200000000000003</v>
      </c>
      <c r="D55">
        <v>0.252</v>
      </c>
      <c r="E55">
        <v>0.16900000000000001</v>
      </c>
      <c r="F55">
        <v>0.19400000000000001</v>
      </c>
      <c r="G55">
        <v>0.22</v>
      </c>
      <c r="H55">
        <v>0.34399999999999997</v>
      </c>
      <c r="I55">
        <v>0.434</v>
      </c>
      <c r="J55">
        <v>0.33600000000000002</v>
      </c>
      <c r="K55">
        <v>0.70699999999999996</v>
      </c>
      <c r="L55">
        <v>0.09</v>
      </c>
      <c r="M55">
        <v>1.6E-2</v>
      </c>
      <c r="N55">
        <v>0.745</v>
      </c>
      <c r="O55">
        <v>9.2999999999999999E-2</v>
      </c>
      <c r="P55">
        <v>0.49399999999999999</v>
      </c>
    </row>
    <row r="56" spans="1:16">
      <c r="A56">
        <f t="shared" si="0"/>
        <v>615</v>
      </c>
      <c r="B56">
        <v>0.44800000000000001</v>
      </c>
      <c r="C56">
        <v>0.34100000000000003</v>
      </c>
      <c r="D56">
        <v>0.247</v>
      </c>
      <c r="E56">
        <v>0.16400000000000001</v>
      </c>
      <c r="F56">
        <v>0.189</v>
      </c>
      <c r="G56">
        <v>0.22</v>
      </c>
      <c r="H56">
        <v>0.36199999999999999</v>
      </c>
      <c r="I56">
        <v>0.48199999999999998</v>
      </c>
      <c r="J56">
        <v>0.41799999999999998</v>
      </c>
      <c r="K56">
        <v>0.70699999999999996</v>
      </c>
      <c r="L56">
        <v>8.6999999999999994E-2</v>
      </c>
      <c r="M56">
        <v>1.6E-2</v>
      </c>
      <c r="N56">
        <v>0.747</v>
      </c>
      <c r="O56">
        <v>0.09</v>
      </c>
      <c r="P56">
        <v>0.51100000000000001</v>
      </c>
    </row>
    <row r="57" spans="1:16">
      <c r="A57">
        <f t="shared" si="0"/>
        <v>620</v>
      </c>
      <c r="B57">
        <v>0.45</v>
      </c>
      <c r="C57">
        <v>0.34100000000000003</v>
      </c>
      <c r="D57">
        <v>0.24099999999999999</v>
      </c>
      <c r="E57">
        <v>0.16</v>
      </c>
      <c r="F57">
        <v>0.185</v>
      </c>
      <c r="G57">
        <v>0.223</v>
      </c>
      <c r="H57">
        <v>0.377</v>
      </c>
      <c r="I57">
        <v>0.52800000000000002</v>
      </c>
      <c r="J57">
        <v>0.505</v>
      </c>
      <c r="K57">
        <v>0.70799999999999996</v>
      </c>
      <c r="L57">
        <v>8.5000000000000006E-2</v>
      </c>
      <c r="M57">
        <v>1.6E-2</v>
      </c>
      <c r="N57">
        <v>0.748</v>
      </c>
      <c r="O57">
        <v>8.8999999999999996E-2</v>
      </c>
      <c r="P57">
        <v>0.52400000000000002</v>
      </c>
    </row>
    <row r="58" spans="1:16">
      <c r="A58">
        <f t="shared" si="0"/>
        <v>625</v>
      </c>
      <c r="B58">
        <v>0.45100000000000001</v>
      </c>
      <c r="C58">
        <v>0.33900000000000002</v>
      </c>
      <c r="D58">
        <v>0.23499999999999999</v>
      </c>
      <c r="E58">
        <v>0.156</v>
      </c>
      <c r="F58">
        <v>0.183</v>
      </c>
      <c r="G58">
        <v>0.22700000000000001</v>
      </c>
      <c r="H58">
        <v>0.38900000000000001</v>
      </c>
      <c r="I58">
        <v>0.56799999999999995</v>
      </c>
      <c r="J58">
        <v>0.58099999999999996</v>
      </c>
      <c r="K58">
        <v>0.70799999999999996</v>
      </c>
      <c r="L58">
        <v>8.2000000000000003E-2</v>
      </c>
      <c r="M58">
        <v>1.6E-2</v>
      </c>
      <c r="N58">
        <v>0.748</v>
      </c>
      <c r="O58">
        <v>8.6999999999999994E-2</v>
      </c>
      <c r="P58">
        <v>0.53500000000000003</v>
      </c>
    </row>
    <row r="59" spans="1:16">
      <c r="A59">
        <f t="shared" si="0"/>
        <v>630</v>
      </c>
      <c r="B59">
        <v>0.45100000000000001</v>
      </c>
      <c r="C59">
        <v>0.33900000000000002</v>
      </c>
      <c r="D59">
        <v>0.22900000000000001</v>
      </c>
      <c r="E59">
        <v>0.154</v>
      </c>
      <c r="F59">
        <v>0.18</v>
      </c>
      <c r="G59">
        <v>0.23300000000000001</v>
      </c>
      <c r="H59">
        <v>0.4</v>
      </c>
      <c r="I59">
        <v>0.60399999999999998</v>
      </c>
      <c r="J59">
        <v>0.64100000000000001</v>
      </c>
      <c r="K59">
        <v>0.71</v>
      </c>
      <c r="L59">
        <v>0.08</v>
      </c>
      <c r="M59">
        <v>1.7999999999999999E-2</v>
      </c>
      <c r="N59">
        <v>0.748</v>
      </c>
      <c r="O59">
        <v>8.5999999999999993E-2</v>
      </c>
      <c r="P59">
        <v>0.54400000000000004</v>
      </c>
    </row>
    <row r="60" spans="1:16">
      <c r="A60">
        <f t="shared" si="0"/>
        <v>635</v>
      </c>
      <c r="B60">
        <v>0.45100000000000001</v>
      </c>
      <c r="C60">
        <v>0.33800000000000002</v>
      </c>
      <c r="D60">
        <v>0.224</v>
      </c>
      <c r="E60">
        <v>0.152</v>
      </c>
      <c r="F60">
        <v>0.17699999999999999</v>
      </c>
      <c r="G60">
        <v>0.23899999999999999</v>
      </c>
      <c r="H60">
        <v>0.41</v>
      </c>
      <c r="I60">
        <v>0.629</v>
      </c>
      <c r="J60">
        <v>0.68200000000000005</v>
      </c>
      <c r="K60">
        <v>0.71099999999999997</v>
      </c>
      <c r="L60">
        <v>7.9000000000000001E-2</v>
      </c>
      <c r="M60">
        <v>1.7999999999999999E-2</v>
      </c>
      <c r="N60">
        <v>0.748</v>
      </c>
      <c r="O60">
        <v>8.5000000000000006E-2</v>
      </c>
      <c r="P60">
        <v>0.55200000000000005</v>
      </c>
    </row>
    <row r="61" spans="1:16">
      <c r="A61">
        <f t="shared" si="0"/>
        <v>640</v>
      </c>
      <c r="B61">
        <v>0.45100000000000001</v>
      </c>
      <c r="C61">
        <v>0.33800000000000002</v>
      </c>
      <c r="D61">
        <v>0.22</v>
      </c>
      <c r="E61">
        <v>0.151</v>
      </c>
      <c r="F61">
        <v>0.17599999999999999</v>
      </c>
      <c r="G61">
        <v>0.24399999999999999</v>
      </c>
      <c r="H61">
        <v>0.42</v>
      </c>
      <c r="I61">
        <v>0.64800000000000002</v>
      </c>
      <c r="J61">
        <v>0.71699999999999997</v>
      </c>
      <c r="K61">
        <v>0.71199999999999997</v>
      </c>
      <c r="L61">
        <v>7.8E-2</v>
      </c>
      <c r="M61">
        <v>1.7999999999999999E-2</v>
      </c>
      <c r="N61">
        <v>0.748</v>
      </c>
      <c r="O61">
        <v>8.4000000000000005E-2</v>
      </c>
      <c r="P61">
        <v>0.55900000000000005</v>
      </c>
    </row>
    <row r="62" spans="1:16">
      <c r="A62">
        <f t="shared" si="0"/>
        <v>645</v>
      </c>
      <c r="B62">
        <v>0.45100000000000001</v>
      </c>
      <c r="C62">
        <v>0.33700000000000002</v>
      </c>
      <c r="D62">
        <v>0.217</v>
      </c>
      <c r="E62">
        <v>0.14899999999999999</v>
      </c>
      <c r="F62">
        <v>0.17499999999999999</v>
      </c>
      <c r="G62">
        <v>0.251</v>
      </c>
      <c r="H62">
        <v>0.42899999999999999</v>
      </c>
      <c r="I62">
        <v>0.66300000000000003</v>
      </c>
      <c r="J62">
        <v>0.74</v>
      </c>
      <c r="K62">
        <v>0.71399999999999997</v>
      </c>
      <c r="L62">
        <v>7.8E-2</v>
      </c>
      <c r="M62">
        <v>1.7999999999999999E-2</v>
      </c>
      <c r="N62">
        <v>0.748</v>
      </c>
      <c r="O62">
        <v>8.4000000000000005E-2</v>
      </c>
      <c r="P62">
        <v>0.56499999999999995</v>
      </c>
    </row>
    <row r="63" spans="1:16">
      <c r="A63">
        <f t="shared" si="0"/>
        <v>650</v>
      </c>
      <c r="B63">
        <v>0.45</v>
      </c>
      <c r="C63">
        <v>0.33600000000000002</v>
      </c>
      <c r="D63">
        <v>0.216</v>
      </c>
      <c r="E63">
        <v>0.14799999999999999</v>
      </c>
      <c r="F63">
        <v>0.17499999999999999</v>
      </c>
      <c r="G63">
        <v>0.25800000000000001</v>
      </c>
      <c r="H63">
        <v>0.438</v>
      </c>
      <c r="I63">
        <v>0.67600000000000005</v>
      </c>
      <c r="J63">
        <v>0.75800000000000001</v>
      </c>
      <c r="K63">
        <v>0.71599999999999997</v>
      </c>
      <c r="L63">
        <v>7.8E-2</v>
      </c>
      <c r="M63">
        <v>1.9E-2</v>
      </c>
      <c r="N63">
        <v>0.748</v>
      </c>
      <c r="O63">
        <v>8.4000000000000005E-2</v>
      </c>
      <c r="P63">
        <v>0.57099999999999995</v>
      </c>
    </row>
    <row r="64" spans="1:16">
      <c r="A64">
        <f t="shared" si="0"/>
        <v>655</v>
      </c>
      <c r="B64">
        <v>0.45</v>
      </c>
      <c r="C64">
        <v>0.33500000000000002</v>
      </c>
      <c r="D64">
        <v>0.216</v>
      </c>
      <c r="E64">
        <v>0.14799999999999999</v>
      </c>
      <c r="F64">
        <v>0.17499999999999999</v>
      </c>
      <c r="G64">
        <v>0.26300000000000001</v>
      </c>
      <c r="H64">
        <v>0.44500000000000001</v>
      </c>
      <c r="I64">
        <v>0.68500000000000005</v>
      </c>
      <c r="J64">
        <v>0.77</v>
      </c>
      <c r="K64">
        <v>0.71799999999999997</v>
      </c>
      <c r="L64">
        <v>7.8E-2</v>
      </c>
      <c r="M64">
        <v>0.02</v>
      </c>
      <c r="N64">
        <v>0.748</v>
      </c>
      <c r="O64">
        <v>8.4000000000000005E-2</v>
      </c>
      <c r="P64">
        <v>0.57599999999999996</v>
      </c>
    </row>
    <row r="65" spans="1:16">
      <c r="A65">
        <f t="shared" si="0"/>
        <v>660</v>
      </c>
      <c r="B65">
        <v>0.45100000000000001</v>
      </c>
      <c r="C65">
        <v>0.33400000000000002</v>
      </c>
      <c r="D65">
        <v>0.219</v>
      </c>
      <c r="E65">
        <v>0.14799999999999999</v>
      </c>
      <c r="F65">
        <v>0.17499999999999999</v>
      </c>
      <c r="G65">
        <v>0.26800000000000002</v>
      </c>
      <c r="H65">
        <v>0.45200000000000001</v>
      </c>
      <c r="I65">
        <v>0.69299999999999995</v>
      </c>
      <c r="J65">
        <v>0.78100000000000003</v>
      </c>
      <c r="K65">
        <v>0.72</v>
      </c>
      <c r="L65">
        <v>8.1000000000000003E-2</v>
      </c>
      <c r="M65">
        <v>2.3E-2</v>
      </c>
      <c r="N65">
        <v>0.747</v>
      </c>
      <c r="O65">
        <v>8.5000000000000006E-2</v>
      </c>
      <c r="P65">
        <v>0.58099999999999996</v>
      </c>
    </row>
    <row r="66" spans="1:16">
      <c r="A66">
        <f t="shared" si="0"/>
        <v>665</v>
      </c>
      <c r="B66">
        <v>0.45100000000000001</v>
      </c>
      <c r="C66">
        <v>0.33200000000000002</v>
      </c>
      <c r="D66">
        <v>0.224</v>
      </c>
      <c r="E66">
        <v>0.14899999999999999</v>
      </c>
      <c r="F66">
        <v>0.17699999999999999</v>
      </c>
      <c r="G66">
        <v>0.27300000000000002</v>
      </c>
      <c r="H66">
        <v>0.45700000000000002</v>
      </c>
      <c r="I66">
        <v>0.7</v>
      </c>
      <c r="J66">
        <v>0.79</v>
      </c>
      <c r="K66">
        <v>0.72199999999999998</v>
      </c>
      <c r="L66">
        <v>8.3000000000000004E-2</v>
      </c>
      <c r="M66">
        <v>2.4E-2</v>
      </c>
      <c r="N66">
        <v>0.747</v>
      </c>
      <c r="O66">
        <v>8.6999999999999994E-2</v>
      </c>
      <c r="P66">
        <v>0.58599999999999997</v>
      </c>
    </row>
    <row r="67" spans="1:16">
      <c r="A67">
        <f t="shared" si="0"/>
        <v>670</v>
      </c>
      <c r="B67">
        <v>0.45300000000000001</v>
      </c>
      <c r="C67">
        <v>0.33200000000000002</v>
      </c>
      <c r="D67">
        <v>0.23</v>
      </c>
      <c r="E67">
        <v>0.151</v>
      </c>
      <c r="F67">
        <v>0.18</v>
      </c>
      <c r="G67">
        <v>0.27800000000000002</v>
      </c>
      <c r="H67">
        <v>0.46200000000000002</v>
      </c>
      <c r="I67">
        <v>0.70499999999999996</v>
      </c>
      <c r="J67">
        <v>0.79700000000000004</v>
      </c>
      <c r="K67">
        <v>0.72499999999999998</v>
      </c>
      <c r="L67">
        <v>8.7999999999999995E-2</v>
      </c>
      <c r="M67">
        <v>2.5999999999999999E-2</v>
      </c>
      <c r="N67">
        <v>0.747</v>
      </c>
      <c r="O67">
        <v>9.1999999999999998E-2</v>
      </c>
      <c r="P67">
        <v>0.59</v>
      </c>
    </row>
    <row r="68" spans="1:16">
      <c r="A68">
        <f t="shared" si="0"/>
        <v>675</v>
      </c>
      <c r="B68">
        <v>0.45400000000000001</v>
      </c>
      <c r="C68">
        <v>0.33100000000000002</v>
      </c>
      <c r="D68">
        <v>0.23799999999999999</v>
      </c>
      <c r="E68">
        <v>0.154</v>
      </c>
      <c r="F68">
        <v>0.183</v>
      </c>
      <c r="G68">
        <v>0.28100000000000003</v>
      </c>
      <c r="H68">
        <v>0.46600000000000003</v>
      </c>
      <c r="I68">
        <v>0.70899999999999996</v>
      </c>
      <c r="J68">
        <v>0.80300000000000005</v>
      </c>
      <c r="K68">
        <v>0.72899999999999998</v>
      </c>
      <c r="L68">
        <v>9.2999999999999999E-2</v>
      </c>
      <c r="M68">
        <v>0.03</v>
      </c>
      <c r="N68">
        <v>0.747</v>
      </c>
      <c r="O68">
        <v>9.6000000000000002E-2</v>
      </c>
      <c r="P68">
        <v>0.59399999999999997</v>
      </c>
    </row>
    <row r="69" spans="1:16">
      <c r="A69">
        <f t="shared" si="0"/>
        <v>680</v>
      </c>
      <c r="B69">
        <v>0.45500000000000002</v>
      </c>
      <c r="C69">
        <v>0.33100000000000002</v>
      </c>
      <c r="D69">
        <v>0.251</v>
      </c>
      <c r="E69">
        <v>0.158</v>
      </c>
      <c r="F69">
        <v>0.186</v>
      </c>
      <c r="G69">
        <v>0.28299999999999997</v>
      </c>
      <c r="H69">
        <v>0.46800000000000003</v>
      </c>
      <c r="I69">
        <v>0.71199999999999997</v>
      </c>
      <c r="J69">
        <v>0.80900000000000005</v>
      </c>
      <c r="K69">
        <v>0.73099999999999998</v>
      </c>
      <c r="L69">
        <v>0.10199999999999999</v>
      </c>
      <c r="M69">
        <v>3.5000000000000003E-2</v>
      </c>
      <c r="N69">
        <v>0.747</v>
      </c>
      <c r="O69">
        <v>0.10199999999999999</v>
      </c>
      <c r="P69">
        <v>0.59899999999999998</v>
      </c>
    </row>
    <row r="70" spans="1:16">
      <c r="A70">
        <f t="shared" si="0"/>
        <v>685</v>
      </c>
      <c r="B70">
        <v>0.45700000000000002</v>
      </c>
      <c r="C70">
        <v>0.33</v>
      </c>
      <c r="D70">
        <v>0.26900000000000002</v>
      </c>
      <c r="E70">
        <v>0.16200000000000001</v>
      </c>
      <c r="F70">
        <v>0.189</v>
      </c>
      <c r="G70">
        <v>0.28599999999999998</v>
      </c>
      <c r="H70">
        <v>0.47</v>
      </c>
      <c r="I70">
        <v>0.71499999999999997</v>
      </c>
      <c r="J70">
        <v>0.81399999999999995</v>
      </c>
      <c r="K70">
        <v>0.73499999999999999</v>
      </c>
      <c r="L70">
        <v>0.112</v>
      </c>
      <c r="M70">
        <v>4.2999999999999997E-2</v>
      </c>
      <c r="N70">
        <v>0.747</v>
      </c>
      <c r="O70">
        <v>0.11</v>
      </c>
      <c r="P70">
        <v>0.60299999999999998</v>
      </c>
    </row>
    <row r="71" spans="1:16">
      <c r="A71">
        <f t="shared" ref="A71:A99" si="1">5+A70</f>
        <v>690</v>
      </c>
      <c r="B71">
        <v>0.45800000000000002</v>
      </c>
      <c r="C71">
        <v>0.32900000000000001</v>
      </c>
      <c r="D71">
        <v>0.28799999999999998</v>
      </c>
      <c r="E71">
        <v>0.16500000000000001</v>
      </c>
      <c r="F71">
        <v>0.192</v>
      </c>
      <c r="G71">
        <v>0.29099999999999998</v>
      </c>
      <c r="H71">
        <v>0.47299999999999998</v>
      </c>
      <c r="I71">
        <v>0.71699999999999997</v>
      </c>
      <c r="J71">
        <v>0.81899999999999995</v>
      </c>
      <c r="K71">
        <v>0.73899999999999999</v>
      </c>
      <c r="L71">
        <v>0.125</v>
      </c>
      <c r="M71">
        <v>5.6000000000000001E-2</v>
      </c>
      <c r="N71">
        <v>0.747</v>
      </c>
      <c r="O71">
        <v>0.123</v>
      </c>
      <c r="P71">
        <v>0.60599999999999998</v>
      </c>
    </row>
    <row r="72" spans="1:16">
      <c r="A72">
        <f t="shared" si="1"/>
        <v>695</v>
      </c>
      <c r="B72">
        <v>0.46</v>
      </c>
      <c r="C72">
        <v>0.32800000000000001</v>
      </c>
      <c r="D72">
        <v>0.312</v>
      </c>
      <c r="E72">
        <v>0.16800000000000001</v>
      </c>
      <c r="F72">
        <v>0.19500000000000001</v>
      </c>
      <c r="G72">
        <v>0.29599999999999999</v>
      </c>
      <c r="H72">
        <v>0.47699999999999998</v>
      </c>
      <c r="I72">
        <v>0.71899999999999997</v>
      </c>
      <c r="J72">
        <v>0.82399999999999995</v>
      </c>
      <c r="K72">
        <v>0.74199999999999999</v>
      </c>
      <c r="L72">
        <v>0.14099999999999999</v>
      </c>
      <c r="M72">
        <v>7.3999999999999996E-2</v>
      </c>
      <c r="N72">
        <v>0.746</v>
      </c>
      <c r="O72">
        <v>0.13700000000000001</v>
      </c>
      <c r="P72">
        <v>0.61</v>
      </c>
    </row>
    <row r="73" spans="1:16">
      <c r="A73">
        <f t="shared" si="1"/>
        <v>700</v>
      </c>
      <c r="B73">
        <v>0.46200000000000002</v>
      </c>
      <c r="C73">
        <v>0.32800000000000001</v>
      </c>
      <c r="D73">
        <v>0.34</v>
      </c>
      <c r="E73">
        <v>0.17</v>
      </c>
      <c r="F73">
        <v>0.19900000000000001</v>
      </c>
      <c r="G73">
        <v>0.30199999999999999</v>
      </c>
      <c r="H73">
        <v>0.48299999999999998</v>
      </c>
      <c r="I73">
        <v>0.72099999999999997</v>
      </c>
      <c r="J73">
        <v>0.82799999999999996</v>
      </c>
      <c r="K73">
        <v>0.746</v>
      </c>
      <c r="L73">
        <v>0.161</v>
      </c>
      <c r="M73">
        <v>9.7000000000000003E-2</v>
      </c>
      <c r="N73">
        <v>0.746</v>
      </c>
      <c r="O73">
        <v>0.152</v>
      </c>
      <c r="P73">
        <v>0.61199999999999999</v>
      </c>
    </row>
    <row r="74" spans="1:16">
      <c r="A74">
        <f t="shared" si="1"/>
        <v>705</v>
      </c>
      <c r="B74">
        <v>0.46300000000000002</v>
      </c>
      <c r="C74">
        <v>0.32700000000000001</v>
      </c>
      <c r="D74">
        <v>0.36599999999999999</v>
      </c>
      <c r="E74">
        <v>0.17100000000000001</v>
      </c>
      <c r="F74">
        <v>0.2</v>
      </c>
      <c r="G74">
        <v>0.313</v>
      </c>
      <c r="H74">
        <v>0.48899999999999999</v>
      </c>
      <c r="I74">
        <v>0.72</v>
      </c>
      <c r="J74">
        <v>0.83</v>
      </c>
      <c r="K74">
        <v>0.748</v>
      </c>
      <c r="L74">
        <v>0.182</v>
      </c>
      <c r="M74">
        <v>0.128</v>
      </c>
      <c r="N74">
        <v>0.746</v>
      </c>
      <c r="O74">
        <v>0.16900000000000001</v>
      </c>
      <c r="P74">
        <v>0.61399999999999999</v>
      </c>
    </row>
    <row r="75" spans="1:16">
      <c r="A75">
        <f t="shared" si="1"/>
        <v>710</v>
      </c>
      <c r="B75">
        <v>0.46400000000000002</v>
      </c>
      <c r="C75">
        <v>0.32600000000000001</v>
      </c>
      <c r="D75">
        <v>0.39</v>
      </c>
      <c r="E75">
        <v>0.17</v>
      </c>
      <c r="F75">
        <v>0.19900000000000001</v>
      </c>
      <c r="G75">
        <v>0.32500000000000001</v>
      </c>
      <c r="H75">
        <v>0.496</v>
      </c>
      <c r="I75">
        <v>0.71899999999999997</v>
      </c>
      <c r="J75">
        <v>0.83099999999999996</v>
      </c>
      <c r="K75">
        <v>0.749</v>
      </c>
      <c r="L75">
        <v>0.20300000000000001</v>
      </c>
      <c r="M75">
        <v>0.16600000000000001</v>
      </c>
      <c r="N75">
        <v>0.745</v>
      </c>
      <c r="O75">
        <v>0.188</v>
      </c>
      <c r="P75">
        <v>0.61599999999999999</v>
      </c>
    </row>
    <row r="76" spans="1:16">
      <c r="A76">
        <f t="shared" si="1"/>
        <v>715</v>
      </c>
      <c r="B76">
        <v>0.46500000000000002</v>
      </c>
      <c r="C76">
        <v>0.32500000000000001</v>
      </c>
      <c r="D76">
        <v>0.41199999999999998</v>
      </c>
      <c r="E76">
        <v>0.16800000000000001</v>
      </c>
      <c r="F76">
        <v>0.19800000000000001</v>
      </c>
      <c r="G76">
        <v>0.33800000000000002</v>
      </c>
      <c r="H76">
        <v>0.503</v>
      </c>
      <c r="I76">
        <v>0.72199999999999998</v>
      </c>
      <c r="J76">
        <v>0.83299999999999996</v>
      </c>
      <c r="K76">
        <v>0.751</v>
      </c>
      <c r="L76">
        <v>0.223</v>
      </c>
      <c r="M76">
        <v>0.21</v>
      </c>
      <c r="N76">
        <v>0.74399999999999999</v>
      </c>
      <c r="O76">
        <v>0.20699999999999999</v>
      </c>
      <c r="P76">
        <v>0.61599999999999999</v>
      </c>
    </row>
    <row r="77" spans="1:16">
      <c r="A77">
        <f t="shared" si="1"/>
        <v>720</v>
      </c>
      <c r="B77">
        <v>0.46600000000000003</v>
      </c>
      <c r="C77">
        <v>0.32400000000000001</v>
      </c>
      <c r="D77">
        <v>0.43099999999999999</v>
      </c>
      <c r="E77">
        <v>0.16600000000000001</v>
      </c>
      <c r="F77">
        <v>0.19600000000000001</v>
      </c>
      <c r="G77">
        <v>0.35099999999999998</v>
      </c>
      <c r="H77">
        <v>0.51100000000000001</v>
      </c>
      <c r="I77">
        <v>0.72499999999999998</v>
      </c>
      <c r="J77">
        <v>0.83499999999999996</v>
      </c>
      <c r="K77">
        <v>0.753</v>
      </c>
      <c r="L77">
        <v>0.24199999999999999</v>
      </c>
      <c r="M77">
        <v>0.25700000000000001</v>
      </c>
      <c r="N77">
        <v>0.74299999999999999</v>
      </c>
      <c r="O77">
        <v>0.22600000000000001</v>
      </c>
      <c r="P77">
        <v>0.61599999999999999</v>
      </c>
    </row>
    <row r="78" spans="1:16">
      <c r="A78">
        <f t="shared" si="1"/>
        <v>725</v>
      </c>
      <c r="B78">
        <v>0.46600000000000003</v>
      </c>
      <c r="C78">
        <v>0.32400000000000001</v>
      </c>
      <c r="D78">
        <v>0.44700000000000001</v>
      </c>
      <c r="E78">
        <v>0.16400000000000001</v>
      </c>
      <c r="F78">
        <v>0.19500000000000001</v>
      </c>
      <c r="G78">
        <v>0.36399999999999999</v>
      </c>
      <c r="H78">
        <v>0.51800000000000002</v>
      </c>
      <c r="I78">
        <v>0.72699999999999998</v>
      </c>
      <c r="J78">
        <v>0.83599999999999997</v>
      </c>
      <c r="K78">
        <v>0.754</v>
      </c>
      <c r="L78">
        <v>0.25700000000000001</v>
      </c>
      <c r="M78">
        <v>0.30499999999999999</v>
      </c>
      <c r="N78">
        <v>0.74399999999999999</v>
      </c>
      <c r="O78">
        <v>0.24299999999999999</v>
      </c>
      <c r="P78">
        <v>0.61599999999999999</v>
      </c>
    </row>
    <row r="79" spans="1:16">
      <c r="A79">
        <f t="shared" si="1"/>
        <v>730</v>
      </c>
      <c r="B79">
        <v>0.46600000000000003</v>
      </c>
      <c r="C79">
        <v>0.32400000000000001</v>
      </c>
      <c r="D79">
        <v>0.46</v>
      </c>
      <c r="E79">
        <v>0.16400000000000001</v>
      </c>
      <c r="F79">
        <v>0.19500000000000001</v>
      </c>
      <c r="G79">
        <v>0.376</v>
      </c>
      <c r="H79">
        <v>0.52500000000000002</v>
      </c>
      <c r="I79">
        <v>0.72899999999999998</v>
      </c>
      <c r="J79">
        <v>0.83599999999999997</v>
      </c>
      <c r="K79">
        <v>0.755</v>
      </c>
      <c r="L79">
        <v>0.27</v>
      </c>
      <c r="M79">
        <v>0.35399999999999998</v>
      </c>
      <c r="N79">
        <v>0.745</v>
      </c>
      <c r="O79">
        <v>0.26</v>
      </c>
      <c r="P79">
        <v>0.61499999999999999</v>
      </c>
    </row>
    <row r="80" spans="1:16">
      <c r="A80">
        <f t="shared" si="1"/>
        <v>735</v>
      </c>
      <c r="B80">
        <v>0.46600000000000003</v>
      </c>
      <c r="C80">
        <v>0.32300000000000001</v>
      </c>
      <c r="D80">
        <v>0.47199999999999998</v>
      </c>
      <c r="E80">
        <v>0.16500000000000001</v>
      </c>
      <c r="F80">
        <v>0.19600000000000001</v>
      </c>
      <c r="G80">
        <v>0.38900000000000001</v>
      </c>
      <c r="H80">
        <v>0.53200000000000003</v>
      </c>
      <c r="I80">
        <v>0.73</v>
      </c>
      <c r="J80">
        <v>0.83699999999999997</v>
      </c>
      <c r="K80">
        <v>0.755</v>
      </c>
      <c r="L80">
        <v>0.28199999999999997</v>
      </c>
      <c r="M80">
        <v>0.40100000000000002</v>
      </c>
      <c r="N80">
        <v>0.748</v>
      </c>
      <c r="O80">
        <v>0.27700000000000002</v>
      </c>
      <c r="P80">
        <v>0.61299999999999999</v>
      </c>
    </row>
    <row r="81" spans="1:16">
      <c r="A81">
        <f t="shared" si="1"/>
        <v>740</v>
      </c>
      <c r="B81">
        <v>0.46700000000000003</v>
      </c>
      <c r="C81">
        <v>0.32200000000000001</v>
      </c>
      <c r="D81">
        <v>0.48099999999999998</v>
      </c>
      <c r="E81">
        <v>0.16800000000000001</v>
      </c>
      <c r="F81">
        <v>0.19700000000000001</v>
      </c>
      <c r="G81">
        <v>0.40100000000000002</v>
      </c>
      <c r="H81">
        <v>0.53900000000000003</v>
      </c>
      <c r="I81">
        <v>0.73</v>
      </c>
      <c r="J81">
        <v>0.83799999999999997</v>
      </c>
      <c r="K81">
        <v>0.755</v>
      </c>
      <c r="L81">
        <v>0.29199999999999998</v>
      </c>
      <c r="M81">
        <v>0.44600000000000001</v>
      </c>
      <c r="N81">
        <v>0.75</v>
      </c>
      <c r="O81">
        <v>0.29399999999999998</v>
      </c>
      <c r="P81">
        <v>0.61199999999999999</v>
      </c>
    </row>
    <row r="82" spans="1:16">
      <c r="A82">
        <f t="shared" si="1"/>
        <v>745</v>
      </c>
      <c r="B82">
        <v>0.46700000000000003</v>
      </c>
      <c r="C82">
        <v>0.32100000000000001</v>
      </c>
      <c r="D82">
        <v>0.48799999999999999</v>
      </c>
      <c r="E82">
        <v>0.17199999999999999</v>
      </c>
      <c r="F82">
        <v>0.2</v>
      </c>
      <c r="G82">
        <v>0.41299999999999998</v>
      </c>
      <c r="H82">
        <v>0.54600000000000004</v>
      </c>
      <c r="I82">
        <v>0.73</v>
      </c>
      <c r="J82">
        <v>0.83899999999999997</v>
      </c>
      <c r="K82">
        <v>0.755</v>
      </c>
      <c r="L82">
        <v>0.30199999999999999</v>
      </c>
      <c r="M82">
        <v>0.48499999999999999</v>
      </c>
      <c r="N82">
        <v>0.75</v>
      </c>
      <c r="O82">
        <v>0.31</v>
      </c>
      <c r="P82">
        <v>0.61</v>
      </c>
    </row>
    <row r="83" spans="1:16">
      <c r="A83">
        <f t="shared" si="1"/>
        <v>750</v>
      </c>
      <c r="B83">
        <v>0.46700000000000003</v>
      </c>
      <c r="C83">
        <v>0.32</v>
      </c>
      <c r="D83">
        <v>0.49299999999999999</v>
      </c>
      <c r="E83">
        <v>0.17699999999999999</v>
      </c>
      <c r="F83">
        <v>0.20300000000000001</v>
      </c>
      <c r="G83">
        <v>0.42499999999999999</v>
      </c>
      <c r="H83">
        <v>0.55300000000000005</v>
      </c>
      <c r="I83">
        <v>0.73</v>
      </c>
      <c r="J83">
        <v>0.83899999999999997</v>
      </c>
      <c r="K83">
        <v>0.75600000000000001</v>
      </c>
      <c r="L83">
        <v>0.31</v>
      </c>
      <c r="M83">
        <v>0.52</v>
      </c>
      <c r="N83">
        <v>0.749</v>
      </c>
      <c r="O83">
        <v>0.32500000000000001</v>
      </c>
      <c r="P83">
        <v>0.60899999999999999</v>
      </c>
    </row>
    <row r="84" spans="1:16">
      <c r="A84">
        <f t="shared" si="1"/>
        <v>755</v>
      </c>
      <c r="B84">
        <v>0.46700000000000003</v>
      </c>
      <c r="C84">
        <v>0.318</v>
      </c>
      <c r="D84">
        <v>0.497</v>
      </c>
      <c r="E84">
        <v>0.18099999999999999</v>
      </c>
      <c r="F84">
        <v>0.20499999999999999</v>
      </c>
      <c r="G84">
        <v>0.436</v>
      </c>
      <c r="H84">
        <v>0.55900000000000005</v>
      </c>
      <c r="I84">
        <v>0.73</v>
      </c>
      <c r="J84">
        <v>0.83899999999999997</v>
      </c>
      <c r="K84">
        <v>0.75700000000000001</v>
      </c>
      <c r="L84">
        <v>0.314</v>
      </c>
      <c r="M84">
        <v>0.55100000000000005</v>
      </c>
      <c r="N84">
        <v>0.748</v>
      </c>
      <c r="O84">
        <v>0.33900000000000002</v>
      </c>
      <c r="P84">
        <v>0.60799999999999998</v>
      </c>
    </row>
    <row r="85" spans="1:16">
      <c r="A85">
        <f t="shared" si="1"/>
        <v>760</v>
      </c>
      <c r="B85">
        <v>0.46700000000000003</v>
      </c>
      <c r="C85">
        <v>0.316</v>
      </c>
      <c r="D85">
        <v>0.5</v>
      </c>
      <c r="E85">
        <v>0.185</v>
      </c>
      <c r="F85">
        <v>0.20799999999999999</v>
      </c>
      <c r="G85">
        <v>0.44700000000000001</v>
      </c>
      <c r="H85">
        <v>0.56499999999999995</v>
      </c>
      <c r="I85">
        <v>0.73</v>
      </c>
      <c r="J85">
        <v>0.83899999999999997</v>
      </c>
      <c r="K85">
        <v>0.75800000000000001</v>
      </c>
      <c r="L85">
        <v>0.317</v>
      </c>
      <c r="M85">
        <v>0.57699999999999996</v>
      </c>
      <c r="N85">
        <v>0.748</v>
      </c>
      <c r="O85">
        <v>0.35299999999999998</v>
      </c>
      <c r="P85">
        <v>0.60699999999999998</v>
      </c>
    </row>
    <row r="86" spans="1:16">
      <c r="A86">
        <f t="shared" si="1"/>
        <v>765</v>
      </c>
      <c r="B86">
        <v>0.46700000000000003</v>
      </c>
      <c r="C86">
        <v>0.315</v>
      </c>
      <c r="D86">
        <v>0.502</v>
      </c>
      <c r="E86">
        <v>0.189</v>
      </c>
      <c r="F86">
        <v>0.21199999999999999</v>
      </c>
      <c r="G86">
        <v>0.45800000000000002</v>
      </c>
      <c r="H86">
        <v>0.56999999999999995</v>
      </c>
      <c r="I86">
        <v>0.73</v>
      </c>
      <c r="J86">
        <v>0.83899999999999997</v>
      </c>
      <c r="K86">
        <v>0.75900000000000001</v>
      </c>
      <c r="L86">
        <v>0.32300000000000001</v>
      </c>
      <c r="M86">
        <v>0.59899999999999998</v>
      </c>
      <c r="N86">
        <v>0.747</v>
      </c>
      <c r="O86">
        <v>0.36599999999999999</v>
      </c>
      <c r="P86">
        <v>0.60699999999999998</v>
      </c>
    </row>
    <row r="87" spans="1:16">
      <c r="A87">
        <f t="shared" si="1"/>
        <v>770</v>
      </c>
      <c r="B87">
        <v>0.46700000000000003</v>
      </c>
      <c r="C87">
        <v>0.315</v>
      </c>
      <c r="D87">
        <v>0.505</v>
      </c>
      <c r="E87">
        <v>0.192</v>
      </c>
      <c r="F87">
        <v>0.215</v>
      </c>
      <c r="G87">
        <v>0.46899999999999997</v>
      </c>
      <c r="H87">
        <v>0.57499999999999996</v>
      </c>
      <c r="I87">
        <v>0.73</v>
      </c>
      <c r="J87">
        <v>0.83899999999999997</v>
      </c>
      <c r="K87">
        <v>0.75900000000000001</v>
      </c>
      <c r="L87">
        <v>0.33</v>
      </c>
      <c r="M87">
        <v>0.61799999999999999</v>
      </c>
      <c r="N87">
        <v>0.747</v>
      </c>
      <c r="O87">
        <v>0.379</v>
      </c>
      <c r="P87">
        <v>0.60899999999999999</v>
      </c>
    </row>
    <row r="88" spans="1:16">
      <c r="A88">
        <f t="shared" si="1"/>
        <v>775</v>
      </c>
      <c r="B88">
        <v>0.46700000000000003</v>
      </c>
      <c r="C88">
        <v>0.314</v>
      </c>
      <c r="D88">
        <v>0.51</v>
      </c>
      <c r="E88">
        <v>0.19400000000000001</v>
      </c>
      <c r="F88">
        <v>0.217</v>
      </c>
      <c r="G88">
        <v>0.47699999999999998</v>
      </c>
      <c r="H88">
        <v>0.57799999999999996</v>
      </c>
      <c r="I88">
        <v>0.73</v>
      </c>
      <c r="J88">
        <v>0.83899999999999997</v>
      </c>
      <c r="K88">
        <v>0.75900000000000001</v>
      </c>
      <c r="L88">
        <v>0.33400000000000002</v>
      </c>
      <c r="M88">
        <v>0.63300000000000001</v>
      </c>
      <c r="N88">
        <v>0.747</v>
      </c>
      <c r="O88">
        <v>0.39</v>
      </c>
      <c r="P88">
        <v>0.61</v>
      </c>
    </row>
    <row r="89" spans="1:16">
      <c r="A89">
        <f t="shared" si="1"/>
        <v>780</v>
      </c>
      <c r="B89">
        <v>0.46700000000000003</v>
      </c>
      <c r="C89">
        <v>0.314</v>
      </c>
      <c r="D89">
        <v>0.51600000000000001</v>
      </c>
      <c r="E89">
        <v>0.19700000000000001</v>
      </c>
      <c r="F89">
        <v>0.219</v>
      </c>
      <c r="G89">
        <v>0.48499999999999999</v>
      </c>
      <c r="H89">
        <v>0.58099999999999996</v>
      </c>
      <c r="I89">
        <v>0.73</v>
      </c>
      <c r="J89">
        <v>0.83899999999999997</v>
      </c>
      <c r="K89">
        <v>0.75900000000000001</v>
      </c>
      <c r="L89">
        <v>0.33800000000000002</v>
      </c>
      <c r="M89">
        <v>0.64500000000000002</v>
      </c>
      <c r="N89">
        <v>0.747</v>
      </c>
      <c r="O89">
        <v>0.39900000000000002</v>
      </c>
      <c r="P89">
        <v>0.61099999999999999</v>
      </c>
    </row>
    <row r="90" spans="1:16">
      <c r="A90">
        <f t="shared" si="1"/>
        <v>785</v>
      </c>
      <c r="B90">
        <v>0.46700000000000003</v>
      </c>
      <c r="C90">
        <v>0.313</v>
      </c>
      <c r="D90">
        <v>0.52</v>
      </c>
      <c r="E90">
        <v>0.2</v>
      </c>
      <c r="F90">
        <v>0.222</v>
      </c>
      <c r="G90">
        <v>0.49299999999999999</v>
      </c>
      <c r="H90">
        <v>0.58299999999999996</v>
      </c>
      <c r="I90">
        <v>0.73</v>
      </c>
      <c r="J90">
        <v>0.83899999999999997</v>
      </c>
      <c r="K90">
        <v>0.75900000000000001</v>
      </c>
      <c r="L90">
        <v>0.34300000000000003</v>
      </c>
      <c r="M90">
        <v>0.65600000000000003</v>
      </c>
      <c r="N90">
        <v>0.746</v>
      </c>
      <c r="O90">
        <v>0.40799999999999997</v>
      </c>
    </row>
    <row r="91" spans="1:16">
      <c r="A91">
        <f t="shared" si="1"/>
        <v>790</v>
      </c>
      <c r="B91">
        <v>0.46700000000000003</v>
      </c>
      <c r="C91">
        <v>0.313</v>
      </c>
      <c r="D91">
        <v>0.52400000000000002</v>
      </c>
      <c r="E91">
        <v>0.20399999999999999</v>
      </c>
      <c r="F91">
        <v>0.22600000000000001</v>
      </c>
      <c r="G91">
        <v>0.5</v>
      </c>
      <c r="H91">
        <v>0.58499999999999996</v>
      </c>
      <c r="I91">
        <v>0.73099999999999998</v>
      </c>
      <c r="J91">
        <v>0.83899999999999997</v>
      </c>
      <c r="K91">
        <v>0.75900000000000001</v>
      </c>
      <c r="L91">
        <v>0.34799999999999998</v>
      </c>
      <c r="M91">
        <v>0.66600000000000004</v>
      </c>
      <c r="N91">
        <v>0.746</v>
      </c>
      <c r="O91">
        <v>0.41599999999999998</v>
      </c>
    </row>
    <row r="92" spans="1:16">
      <c r="A92">
        <f t="shared" si="1"/>
        <v>795</v>
      </c>
      <c r="B92">
        <v>0.46600000000000003</v>
      </c>
      <c r="C92">
        <v>0.312</v>
      </c>
      <c r="D92">
        <v>0.52700000000000002</v>
      </c>
      <c r="E92">
        <v>0.21</v>
      </c>
      <c r="F92">
        <v>0.23100000000000001</v>
      </c>
      <c r="G92">
        <v>0.50600000000000001</v>
      </c>
      <c r="H92">
        <v>0.58699999999999997</v>
      </c>
      <c r="I92">
        <v>0.73099999999999998</v>
      </c>
      <c r="J92">
        <v>0.83899999999999997</v>
      </c>
      <c r="K92">
        <v>0.75900000000000001</v>
      </c>
      <c r="L92">
        <v>0.35299999999999998</v>
      </c>
      <c r="M92">
        <v>0.67400000000000004</v>
      </c>
      <c r="N92">
        <v>0.746</v>
      </c>
      <c r="O92">
        <v>0.42199999999999999</v>
      </c>
    </row>
    <row r="93" spans="1:16">
      <c r="A93">
        <f t="shared" si="1"/>
        <v>800</v>
      </c>
      <c r="B93">
        <v>0.46600000000000003</v>
      </c>
      <c r="C93">
        <v>0.312</v>
      </c>
      <c r="D93">
        <v>0.53100000000000003</v>
      </c>
      <c r="E93">
        <v>0.218</v>
      </c>
      <c r="F93">
        <v>0.23699999999999999</v>
      </c>
      <c r="G93">
        <v>0.51200000000000001</v>
      </c>
      <c r="H93">
        <v>0.58799999999999997</v>
      </c>
      <c r="I93">
        <v>0.73099999999999998</v>
      </c>
      <c r="J93">
        <v>0.83899999999999997</v>
      </c>
      <c r="K93">
        <v>0.75900000000000001</v>
      </c>
      <c r="L93">
        <v>0.35899999999999999</v>
      </c>
      <c r="M93">
        <v>0.68</v>
      </c>
      <c r="N93">
        <v>0.746</v>
      </c>
      <c r="O93">
        <v>0.42799999999999999</v>
      </c>
    </row>
    <row r="94" spans="1:16">
      <c r="A94">
        <f t="shared" si="1"/>
        <v>805</v>
      </c>
      <c r="B94">
        <v>0.46600000000000003</v>
      </c>
      <c r="C94">
        <v>0.311</v>
      </c>
      <c r="D94">
        <v>0.53500000000000003</v>
      </c>
      <c r="E94">
        <v>0.22500000000000001</v>
      </c>
      <c r="F94">
        <v>0.24299999999999999</v>
      </c>
      <c r="G94">
        <v>0.51700000000000002</v>
      </c>
      <c r="H94">
        <v>0.58899999999999997</v>
      </c>
      <c r="I94">
        <v>0.73099999999999998</v>
      </c>
      <c r="J94">
        <v>0.83899999999999997</v>
      </c>
      <c r="K94">
        <v>0.75900000000000001</v>
      </c>
      <c r="L94">
        <v>0.36499999999999999</v>
      </c>
      <c r="M94">
        <v>0.68600000000000005</v>
      </c>
      <c r="N94">
        <v>0.745</v>
      </c>
      <c r="O94">
        <v>0.434</v>
      </c>
    </row>
    <row r="95" spans="1:16">
      <c r="A95">
        <f t="shared" si="1"/>
        <v>810</v>
      </c>
      <c r="B95">
        <v>0.46600000000000003</v>
      </c>
      <c r="C95">
        <v>0.311</v>
      </c>
      <c r="D95">
        <v>0.53900000000000003</v>
      </c>
      <c r="E95">
        <v>0.23300000000000001</v>
      </c>
      <c r="F95">
        <v>0.249</v>
      </c>
      <c r="G95">
        <v>0.52100000000000002</v>
      </c>
      <c r="H95">
        <v>0.59</v>
      </c>
      <c r="I95">
        <v>0.73099999999999998</v>
      </c>
      <c r="J95">
        <v>0.83799999999999997</v>
      </c>
      <c r="K95">
        <v>0.75800000000000001</v>
      </c>
      <c r="L95">
        <v>0.372</v>
      </c>
      <c r="M95">
        <v>0.69099999999999995</v>
      </c>
      <c r="N95">
        <v>0.745</v>
      </c>
      <c r="O95">
        <v>0.439</v>
      </c>
    </row>
    <row r="96" spans="1:16">
      <c r="A96">
        <f t="shared" si="1"/>
        <v>815</v>
      </c>
      <c r="B96">
        <v>0.46600000000000003</v>
      </c>
      <c r="C96">
        <v>0.311</v>
      </c>
      <c r="D96">
        <v>0.54400000000000004</v>
      </c>
      <c r="E96">
        <v>0.24299999999999999</v>
      </c>
      <c r="F96">
        <v>0.25700000000000001</v>
      </c>
      <c r="G96">
        <v>0.52500000000000002</v>
      </c>
      <c r="H96">
        <v>0.59</v>
      </c>
      <c r="I96">
        <v>0.73099999999999998</v>
      </c>
      <c r="J96">
        <v>0.83699999999999997</v>
      </c>
      <c r="K96">
        <v>0.75700000000000001</v>
      </c>
      <c r="L96">
        <v>0.38</v>
      </c>
      <c r="M96">
        <v>0.69399999999999995</v>
      </c>
      <c r="N96">
        <v>0.745</v>
      </c>
      <c r="O96">
        <v>0.44400000000000001</v>
      </c>
    </row>
    <row r="97" spans="1:15">
      <c r="A97">
        <f t="shared" si="1"/>
        <v>820</v>
      </c>
      <c r="B97">
        <v>0.46500000000000002</v>
      </c>
      <c r="C97">
        <v>0.311</v>
      </c>
      <c r="D97">
        <v>0.54800000000000004</v>
      </c>
      <c r="E97">
        <v>0.254</v>
      </c>
      <c r="F97">
        <v>0.26500000000000001</v>
      </c>
      <c r="G97">
        <v>0.52900000000000003</v>
      </c>
      <c r="H97">
        <v>0.59</v>
      </c>
      <c r="I97">
        <v>0.73099999999999998</v>
      </c>
      <c r="J97">
        <v>0.83699999999999997</v>
      </c>
      <c r="K97">
        <v>0.75700000000000001</v>
      </c>
      <c r="L97">
        <v>0.38800000000000001</v>
      </c>
      <c r="M97">
        <v>0.69699999999999995</v>
      </c>
      <c r="N97">
        <v>0.745</v>
      </c>
      <c r="O97">
        <v>0.44800000000000001</v>
      </c>
    </row>
    <row r="98" spans="1:15">
      <c r="A98">
        <f t="shared" si="1"/>
        <v>825</v>
      </c>
      <c r="B98">
        <v>0.46400000000000002</v>
      </c>
      <c r="C98">
        <v>0.311</v>
      </c>
      <c r="D98">
        <v>0.55200000000000005</v>
      </c>
      <c r="E98">
        <v>0.26400000000000001</v>
      </c>
      <c r="F98">
        <v>0.27300000000000002</v>
      </c>
      <c r="G98">
        <v>0.53200000000000003</v>
      </c>
      <c r="H98">
        <v>0.59099999999999997</v>
      </c>
      <c r="I98">
        <v>0.73099999999999998</v>
      </c>
      <c r="J98">
        <v>0.83599999999999997</v>
      </c>
      <c r="K98">
        <v>0.75600000000000001</v>
      </c>
      <c r="L98">
        <v>0.39600000000000002</v>
      </c>
      <c r="M98">
        <v>0.7</v>
      </c>
      <c r="N98">
        <v>0.745</v>
      </c>
      <c r="O98">
        <v>0.45100000000000001</v>
      </c>
    </row>
    <row r="99" spans="1:15">
      <c r="A99">
        <f t="shared" si="1"/>
        <v>830</v>
      </c>
      <c r="B99">
        <v>0.46400000000000002</v>
      </c>
      <c r="C99">
        <v>0.31</v>
      </c>
      <c r="D99">
        <v>0.55500000000000005</v>
      </c>
      <c r="E99">
        <v>0.27400000000000002</v>
      </c>
      <c r="F99">
        <v>0.28000000000000003</v>
      </c>
      <c r="G99">
        <v>0.53500000000000003</v>
      </c>
      <c r="H99">
        <v>0.59199999999999997</v>
      </c>
      <c r="I99">
        <v>0.73099999999999998</v>
      </c>
      <c r="J99">
        <v>0.83599999999999997</v>
      </c>
      <c r="K99">
        <v>0.75600000000000001</v>
      </c>
      <c r="L99">
        <v>0.40300000000000002</v>
      </c>
      <c r="M99">
        <v>0.70199999999999996</v>
      </c>
      <c r="N99">
        <v>0.745</v>
      </c>
      <c r="O99">
        <v>0.45400000000000001</v>
      </c>
    </row>
  </sheetData>
  <phoneticPr fontId="0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1</vt:i4>
      </vt:variant>
    </vt:vector>
  </HeadingPairs>
  <TitlesOfParts>
    <vt:vector size="7" baseType="lpstr">
      <vt:lpstr>Reference</vt:lpstr>
      <vt:lpstr>Chromaticity</vt:lpstr>
      <vt:lpstr>xy diagram</vt:lpstr>
      <vt:lpstr>von Kries</vt:lpstr>
      <vt:lpstr>Results</vt:lpstr>
      <vt:lpstr>Sample data</vt:lpstr>
      <vt:lpstr>CCT.v</vt:lpstr>
    </vt:vector>
  </TitlesOfParts>
  <Company>NIST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 Ohno</dc:creator>
  <cp:lastModifiedBy>Lindsay MacDonald</cp:lastModifiedBy>
  <dcterms:created xsi:type="dcterms:W3CDTF">1999-01-09T05:50:44Z</dcterms:created>
  <dcterms:modified xsi:type="dcterms:W3CDTF">2015-05-13T17:12:18Z</dcterms:modified>
</cp:coreProperties>
</file>